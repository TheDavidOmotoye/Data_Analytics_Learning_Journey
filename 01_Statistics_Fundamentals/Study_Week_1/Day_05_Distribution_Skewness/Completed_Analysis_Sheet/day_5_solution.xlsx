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70766C66-8BCF-4FA8-AC5C-D6916FDA13C1}" xr6:coauthVersionLast="47" xr6:coauthVersionMax="47" xr10:uidLastSave="{00000000-0000-0000-0000-000000000000}"/>
  <bookViews>
    <workbookView xWindow="-108" yWindow="-108" windowWidth="23256" windowHeight="12456" xr2:uid="{DCDEAA61-9D06-4D92-B877-2343842D8ED5}"/>
  </bookViews>
  <sheets>
    <sheet name="Day5" sheetId="1" r:id="rId1"/>
  </sheets>
  <definedNames>
    <definedName name="_xlchart.v1.0" hidden="1">'Day5'!$A$6:$A$35</definedName>
    <definedName name="_xlchart.v1.1" hidden="1">'Day5'!$B$5</definedName>
    <definedName name="_xlchart.v1.2" hidden="1">'Day5'!$B$6:$B$35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49" i="1"/>
  <c r="B47" i="1"/>
  <c r="B48" i="1" s="1"/>
  <c r="B46" i="1"/>
  <c r="B44" i="1"/>
  <c r="B43" i="1"/>
  <c r="B42" i="1"/>
  <c r="B38" i="1"/>
  <c r="B37" i="1"/>
  <c r="B50" i="1" l="1"/>
</calcChain>
</file>

<file path=xl/sharedStrings.xml><?xml version="1.0" encoding="utf-8"?>
<sst xmlns="http://schemas.openxmlformats.org/spreadsheetml/2006/main" count="52" uniqueCount="49">
  <si>
    <t>Day 5 Dataset: Distribution &amp; Skewness</t>
  </si>
  <si>
    <t>Objective</t>
  </si>
  <si>
    <t>Visualize the shape of a positively skewed dataset.</t>
  </si>
  <si>
    <t>Suggested practice</t>
  </si>
  <si>
    <t>Create a histogram of monthly salaries. Compare mean vs median and describe the skew.</t>
  </si>
  <si>
    <t>Employee_ID</t>
  </si>
  <si>
    <t>Monthly_Salary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</si>
  <si>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</si>
  <si>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</si>
  <si>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</si>
  <si>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</si>
  <si>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</si>
  <si>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</si>
  <si>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</si>
  <si>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</si>
  <si>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</si>
  <si>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</si>
  <si>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</si>
  <si>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</si>
  <si>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</si>
  <si>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</si>
  <si>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</si>
  <si>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</si>
  <si>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</si>
  <si>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</si>
  <si>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</si>
  <si>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</si>
  <si>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</si>
  <si>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</si>
  <si>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</si>
  <si>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</si>
  <si>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</si>
  <si>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</si>
  <si>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</si>
  <si>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</si>
  <si>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</si>
  <si>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</si>
  <si>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COUNT</t>
  </si>
  <si>
    <t>MEAN</t>
  </si>
  <si>
    <t>MEDIAN</t>
  </si>
  <si>
    <t>DIFF.</t>
  </si>
  <si>
    <t xml:space="preserve"> </t>
  </si>
  <si>
    <t>Q1</t>
  </si>
  <si>
    <t>Q3</t>
  </si>
  <si>
    <t>IQR</t>
  </si>
  <si>
    <t>LOWER BOUND</t>
  </si>
  <si>
    <t>UPPER BOUND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</si>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</sst>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DISTRIBUTION OF MONTHLY SALARY</cx:v>
        </cx:txData>
      </cx:tx>
      <cx:spPr>
        <a:noFill/>
        <a:effectLst>
          <a:glow rad="127000">
            <a:schemeClr val="tx2">
              <a:lumMod val="40000"/>
              <a:lumOff val="60000"/>
              <a:alpha val="70000"/>
            </a:schemeClr>
          </a:glow>
        </a:effectLst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DISTRIBUTION OF MONTHLY SALARY</a:t>
          </a:r>
        </a:p>
      </cx:txPr>
    </cx:title>
    <cx:plotArea>
      <cx:plotAreaRegion>
        <cx:series layoutId="clusteredColumn" uniqueId="{4B678CE8-A75B-4F94-9518-BE7E991502A4}">
          <cx:tx>
            <cx:txData>
              <cx:f>_xlchart.v1.1</cx:f>
              <cx:v>Monthly_Salary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18</xdr:row>
      <xdr:rowOff>64770</xdr:rowOff>
    </xdr:from>
    <xdr:to>
      <xdr:col>12</xdr:col>
      <xdr:colOff>266700</xdr:colOff>
      <xdr:row>33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3333977-2F44-4484-A06F-E6193C935E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4042410"/>
              <a:ext cx="4991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0E062-5168-491F-B783-0C21AA58EE18}" name="Day5Data" displayName="Day5Data" ref="A5:B35">
  <autoFilter ref="A5:B35" xr:uid="{00000000-0009-0000-0100-000005000000}"/>
  <tableColumns count="2">
    <tableColumn id="1" xr3:uid="{3EAF58DF-7736-45C8-A591-00A1CAC7EA2A}" name="Employee_ID"/>
    <tableColumn id="2" xr3:uid="{203AE74F-BAB8-4E5C-9822-737A93EAB487}" name="Monthly_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C932-6B24-4171-A827-4ADED6706D09}">
  <dimension ref="A1:B52"/>
  <sheetViews>
    <sheetView tabSelected="1" workbookViewId="0">
      <pane ySplit="4" topLeftCell="A21" activePane="bottomLeft" state="frozen"/>
      <selection pane="bottomLeft" activeCell="D38" sqref="D38"/>
    </sheetView>
  </sheetViews>
  <sheetFormatPr defaultRowHeight="14.4" x14ac:dyDescent="0.3"/>
  <cols>
    <col min="1" max="1" width="18" customWidth="1"/>
    <col min="2" max="2" width="32" customWidth="1"/>
  </cols>
  <sheetData>
    <row r="1" spans="1:2" ht="19.95" customHeight="1" x14ac:dyDescent="0.4">
      <c r="A1" s="1" t="s">
        <v>0</v>
      </c>
    </row>
    <row r="2" spans="1:2" ht="28.8" x14ac:dyDescent="0.3">
      <c r="A2" s="2" t="s">
        <v>1</v>
      </c>
      <c r="B2" s="3" t="s">
        <v>2</v>
      </c>
    </row>
    <row r="3" spans="1:2" ht="43.2" x14ac:dyDescent="0.3">
      <c r="A3" s="2" t="s">
        <v>3</v>
      </c>
      <c r="B3" s="3" t="s">
        <v>4</v>
      </c>
    </row>
    <row r="4" spans="1:2" ht="19.95" customHeight="1" x14ac:dyDescent="0.3"/>
    <row r="5" spans="1:2" x14ac:dyDescent="0.3">
      <c r="A5" s="4" t="s">
        <v>5</v>
      </c>
      <c r="B5" s="4" t="s">
        <v>6</v>
      </c>
    </row>
    <row r="6" spans="1:2" x14ac:dyDescent="0.3">
      <c r="A6" t="s">
        <v>7</v>
      </c>
      <c r="B6" s="5">
        <v>1800</v>
      </c>
    </row>
    <row r="7" spans="1:2" x14ac:dyDescent="0.3">
      <c r="A7" t="s">
        <v>8</v>
      </c>
      <c r="B7" s="5">
        <v>1900</v>
      </c>
    </row>
    <row r="8" spans="1:2" x14ac:dyDescent="0.3">
      <c r="A8" t="s">
        <v>9</v>
      </c>
      <c r="B8" s="5">
        <v>2000</v>
      </c>
    </row>
    <row r="9" spans="1:2" x14ac:dyDescent="0.3">
      <c r="A9" t="s">
        <v>10</v>
      </c>
      <c r="B9" s="5">
        <v>2100</v>
      </c>
    </row>
    <row r="10" spans="1:2" x14ac:dyDescent="0.3">
      <c r="A10" t="s">
        <v>11</v>
      </c>
      <c r="B10" s="5">
        <v>2200</v>
      </c>
    </row>
    <row r="11" spans="1:2" x14ac:dyDescent="0.3">
      <c r="A11" t="s">
        <v>12</v>
      </c>
      <c r="B11" s="5">
        <v>2200</v>
      </c>
    </row>
    <row r="12" spans="1:2" x14ac:dyDescent="0.3">
      <c r="A12" t="s">
        <v>13</v>
      </c>
      <c r="B12" s="5">
        <v>2300</v>
      </c>
    </row>
    <row r="13" spans="1:2" x14ac:dyDescent="0.3">
      <c r="A13" t="s">
        <v>14</v>
      </c>
      <c r="B13" s="5">
        <v>2300</v>
      </c>
    </row>
    <row r="14" spans="1:2" x14ac:dyDescent="0.3">
      <c r="A14" t="s">
        <v>15</v>
      </c>
      <c r="B14" s="5">
        <v>2400</v>
      </c>
    </row>
    <row r="15" spans="1:2" x14ac:dyDescent="0.3">
      <c r="A15" t="s">
        <v>16</v>
      </c>
      <c r="B15" s="5">
        <v>2400</v>
      </c>
    </row>
    <row r="16" spans="1:2" x14ac:dyDescent="0.3">
      <c r="A16" t="s">
        <v>17</v>
      </c>
      <c r="B16" s="5">
        <v>2500</v>
      </c>
    </row>
    <row r="17" spans="1:2" x14ac:dyDescent="0.3">
      <c r="A17" t="s">
        <v>18</v>
      </c>
      <c r="B17" s="5">
        <v>2500</v>
      </c>
    </row>
    <row r="18" spans="1:2" x14ac:dyDescent="0.3">
      <c r="A18" t="s">
        <v>19</v>
      </c>
      <c r="B18" s="5">
        <v>2600</v>
      </c>
    </row>
    <row r="19" spans="1:2" x14ac:dyDescent="0.3">
      <c r="A19" t="s">
        <v>20</v>
      </c>
      <c r="B19" s="5">
        <v>2600</v>
      </c>
    </row>
    <row r="20" spans="1:2" x14ac:dyDescent="0.3">
      <c r="A20" t="s">
        <v>21</v>
      </c>
      <c r="B20" s="5">
        <v>2700</v>
      </c>
    </row>
    <row r="21" spans="1:2" x14ac:dyDescent="0.3">
      <c r="A21" t="s">
        <v>22</v>
      </c>
      <c r="B21" s="5">
        <v>2800</v>
      </c>
    </row>
    <row r="22" spans="1:2" x14ac:dyDescent="0.3">
      <c r="A22" t="s">
        <v>23</v>
      </c>
      <c r="B22" s="5">
        <v>2800</v>
      </c>
    </row>
    <row r="23" spans="1:2" x14ac:dyDescent="0.3">
      <c r="A23" t="s">
        <v>24</v>
      </c>
      <c r="B23" s="5">
        <v>2900</v>
      </c>
    </row>
    <row r="24" spans="1:2" x14ac:dyDescent="0.3">
      <c r="A24" t="s">
        <v>25</v>
      </c>
      <c r="B24" s="5">
        <v>3000</v>
      </c>
    </row>
    <row r="25" spans="1:2" x14ac:dyDescent="0.3">
      <c r="A25" t="s">
        <v>26</v>
      </c>
      <c r="B25" s="5">
        <v>3100</v>
      </c>
    </row>
    <row r="26" spans="1:2" x14ac:dyDescent="0.3">
      <c r="A26" t="s">
        <v>27</v>
      </c>
      <c r="B26" s="5">
        <v>3200</v>
      </c>
    </row>
    <row r="27" spans="1:2" x14ac:dyDescent="0.3">
      <c r="A27" t="s">
        <v>28</v>
      </c>
      <c r="B27" s="5">
        <v>3400</v>
      </c>
    </row>
    <row r="28" spans="1:2" x14ac:dyDescent="0.3">
      <c r="A28" t="s">
        <v>29</v>
      </c>
      <c r="B28" s="5">
        <v>3600</v>
      </c>
    </row>
    <row r="29" spans="1:2" x14ac:dyDescent="0.3">
      <c r="A29" t="s">
        <v>30</v>
      </c>
      <c r="B29" s="5">
        <v>3800</v>
      </c>
    </row>
    <row r="30" spans="1:2" x14ac:dyDescent="0.3">
      <c r="A30" t="s">
        <v>31</v>
      </c>
      <c r="B30" s="5">
        <v>4200</v>
      </c>
    </row>
    <row r="31" spans="1:2" x14ac:dyDescent="0.3">
      <c r="A31" t="s">
        <v>32</v>
      </c>
      <c r="B31" s="5">
        <v>4500</v>
      </c>
    </row>
    <row r="32" spans="1:2" x14ac:dyDescent="0.3">
      <c r="A32" t="s">
        <v>33</v>
      </c>
      <c r="B32" s="5">
        <v>5000</v>
      </c>
    </row>
    <row r="33" spans="1:2" x14ac:dyDescent="0.3">
      <c r="A33" t="s">
        <v>34</v>
      </c>
      <c r="B33" s="5">
        <v>6200</v>
      </c>
    </row>
    <row r="34" spans="1:2" x14ac:dyDescent="0.3">
      <c r="A34" t="s">
        <v>35</v>
      </c>
      <c r="B34" s="5">
        <v>7800</v>
      </c>
    </row>
    <row r="35" spans="1:2" x14ac:dyDescent="0.3">
      <c r="A35" t="s">
        <v>36</v>
      </c>
      <c r="B35" s="5">
        <v>9500</v>
      </c>
    </row>
    <row r="36" spans="1:2" x14ac:dyDescent="0.3">
      <c r="B36" s="5"/>
    </row>
    <row r="37" spans="1:2" x14ac:dyDescent="0.3">
      <c r="A37" t="s">
        <v>37</v>
      </c>
      <c r="B37">
        <f>COUNT(Day5Data[Monthly_Salary])</f>
        <v>30</v>
      </c>
    </row>
    <row r="38" spans="1:2" x14ac:dyDescent="0.3">
      <c r="A38" t="s">
        <v>38</v>
      </c>
      <c r="B38" s="6">
        <f>AVERAGE(Day5Data[Monthly_Salary])</f>
        <v>3343.3333333333335</v>
      </c>
    </row>
    <row r="39" spans="1:2" x14ac:dyDescent="0.3">
      <c r="A39" t="s">
        <v>39</v>
      </c>
    </row>
    <row r="40" spans="1:2" x14ac:dyDescent="0.3">
      <c r="A40" t="s">
        <v>40</v>
      </c>
      <c r="B40" s="6" t="s">
        <v>41</v>
      </c>
    </row>
    <row r="42" spans="1:2" x14ac:dyDescent="0.3">
      <c r="A42" t="s">
        <v>37</v>
      </c>
      <c r="B42">
        <f>COUNTA(Day5Data[Monthly_Salary])</f>
        <v>30</v>
      </c>
    </row>
    <row r="43" spans="1:2" x14ac:dyDescent="0.3">
      <c r="A43" t="s">
        <v>38</v>
      </c>
      <c r="B43" s="6">
        <f>AVERAGE(Day5Data[Monthly_Salary])</f>
        <v>3343.3333333333335</v>
      </c>
    </row>
    <row r="44" spans="1:2" x14ac:dyDescent="0.3">
      <c r="A44" t="s">
        <v>39</v>
      </c>
      <c r="B44">
        <f>MEDIAN(Day5Data[Monthly_Salary])</f>
        <v>2750</v>
      </c>
    </row>
    <row r="46" spans="1:2" x14ac:dyDescent="0.3">
      <c r="A46" t="s">
        <v>42</v>
      </c>
      <c r="B46">
        <f>_xlfn.QUARTILE.INC(Day5Data[Monthly_Salary],1)</f>
        <v>2325</v>
      </c>
    </row>
    <row r="47" spans="1:2" x14ac:dyDescent="0.3">
      <c r="A47" t="s">
        <v>43</v>
      </c>
      <c r="B47">
        <f>_xlfn.QUARTILE.INC(Day5Data[Monthly_Salary],3)</f>
        <v>3550</v>
      </c>
    </row>
    <row r="48" spans="1:2" x14ac:dyDescent="0.3">
      <c r="A48" t="s">
        <v>44</v>
      </c>
      <c r="B48">
        <f>B47-B46</f>
        <v>1225</v>
      </c>
    </row>
    <row r="49" spans="1:2" x14ac:dyDescent="0.3">
      <c r="A49" t="s">
        <v>45</v>
      </c>
      <c r="B49">
        <f>B46-1.5*(1225)</f>
        <v>487.5</v>
      </c>
    </row>
    <row r="50" spans="1:2" x14ac:dyDescent="0.3">
      <c r="A50" t="s">
        <v>46</v>
      </c>
      <c r="B50">
        <f>B47+1.5*(B48)</f>
        <v>5387.5</v>
      </c>
    </row>
    <row r="51" spans="1:2" x14ac:dyDescent="0.3">
      <c r="A51" t="s">
        <v>47</v>
      </c>
      <c r="B51">
        <f>MAX(Day5Data[Monthly_Salary])</f>
        <v>9500</v>
      </c>
    </row>
    <row r="52" spans="1:2" x14ac:dyDescent="0.3">
      <c r="A52" t="s">
        <v>48</v>
      </c>
      <c r="B52">
        <f>MIN(Day5Data[Monthly_Salary])</f>
        <v>1800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2026-05-03T14:52:35Z</dcterms:created>
  <dcterms:modified xsi:type="dcterms:W3CDTF">2026-05-03T14:53:12Z</dcterms:modified>
</cp:coreProperties>
</file>