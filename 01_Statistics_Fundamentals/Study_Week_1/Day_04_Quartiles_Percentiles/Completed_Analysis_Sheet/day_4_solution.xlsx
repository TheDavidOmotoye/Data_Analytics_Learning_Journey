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84B629BD-ABDE-4ABB-BCFB-F076D3070A1C}" xr6:coauthVersionLast="47" xr6:coauthVersionMax="47" xr10:uidLastSave="{00000000-0000-0000-0000-000000000000}"/>
  <bookViews>
    <workbookView xWindow="-108" yWindow="-108" windowWidth="23256" windowHeight="12456" xr2:uid="{E77FFFD6-69CB-46DA-B61B-578E338328F3}"/>
  </bookViews>
  <sheets>
    <sheet name="Day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1" l="1"/>
  <c r="B48" i="1"/>
  <c r="B49" i="1" s="1"/>
  <c r="B47" i="1"/>
  <c r="B46" i="1"/>
  <c r="F7" i="1"/>
</calcChain>
</file>

<file path=xl/sharedStrings.xml><?xml version="1.0" encoding="utf-8"?>
<sst xmlns="http://schemas.openxmlformats.org/spreadsheetml/2006/main" count="52" uniqueCount="52">
  <si>
    <t>Day 4 Dataset: Quartiles &amp; Percentiles</t>
  </si>
  <si>
    <t>Objective</t>
  </si>
  <si>
    <t>Find how values are positioned within a distribution.</t>
  </si>
  <si>
    <t>Suggested practice</t>
  </si>
  <si>
    <t>Compute Q1, median (Q2), Q3, and the 90th percentile for the test scores.</t>
  </si>
  <si>
    <t>Student_ID</t>
  </si>
  <si>
    <t>Test_Score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</si>
  <si>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</si>
  <si>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</si>
  <si>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</si>
  <si>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</si>
  <si>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</si>
  <si>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</si>
  <si>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</si>
  <si>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</si>
  <si>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</si>
  <si>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</si>
  <si>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</si>
  <si>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</si>
  <si>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</si>
  <si>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</si>
  <si>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S040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</si>
  <si>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</si>
  <si>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</si>
  <si>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</si>
  <si>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</si>
  <si>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</si>
  <si>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</si>
  <si>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</si>
  <si>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</si>
  <si>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</si>
  <si>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</si>
  <si>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</si>
  <si>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</si>
  <si>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</si>
  <si>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S039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</si>
  <si>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</si>
  <si>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</si>
  <si>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</si>
  <si>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</si>
  <si>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</si>
  <si>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</si>
  <si>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</si>
  <si>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</si>
  <si>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</si>
  <si>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</si>
  <si>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</si>
  <si>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Q1</t>
  </si>
  <si>
    <t>Q2 (MEDIAN)</t>
  </si>
  <si>
    <t>Q3</t>
  </si>
  <si>
    <t>IQR</t>
  </si>
  <si>
    <t>90TH 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</si>
</sst>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 applyAlignment="1">
      <alignment wrapText="1"/>
    </xf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162320-43D1-4796-9136-EC54DAA609A7}" name="Day4Data" displayName="Day4Data" ref="A5:B45">
  <autoFilter ref="A5:B45" xr:uid="{00000000-0009-0000-0100-000004000000}"/>
  <sortState xmlns:xlrd2="http://schemas.microsoft.com/office/spreadsheetml/2017/richdata2" ref="A6:B45">
    <sortCondition ref="B5:B45"/>
  </sortState>
  <tableColumns count="2">
    <tableColumn id="1" xr3:uid="{62A94783-4163-4627-ADAE-07EE4D81B7EC}" name="Student_ID"/>
    <tableColumn id="2" xr3:uid="{4B708D05-3502-4E1B-8A45-0CE6ADEAC3A7}" name="Test_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6FF4C-D5F3-4E5C-828F-4C5B90F10282}">
  <dimension ref="A1:F50"/>
  <sheetViews>
    <sheetView tabSelected="1" workbookViewId="0">
      <pane ySplit="4" topLeftCell="A5" activePane="bottomLeft" state="frozen"/>
      <selection pane="bottomLeft" activeCell="B50" sqref="B50"/>
    </sheetView>
  </sheetViews>
  <sheetFormatPr defaultRowHeight="14.4" x14ac:dyDescent="0.3"/>
  <cols>
    <col min="1" max="1" width="18" customWidth="1"/>
    <col min="2" max="2" width="32" customWidth="1"/>
  </cols>
  <sheetData>
    <row r="1" spans="1:6" ht="21" x14ac:dyDescent="0.4">
      <c r="A1" s="1" t="s">
        <v>0</v>
      </c>
    </row>
    <row r="2" spans="1:6" ht="28.8" x14ac:dyDescent="0.3">
      <c r="A2" s="2" t="s">
        <v>1</v>
      </c>
      <c r="B2" s="3" t="s">
        <v>2</v>
      </c>
    </row>
    <row r="3" spans="1:6" ht="43.2" x14ac:dyDescent="0.3">
      <c r="A3" s="2" t="s">
        <v>3</v>
      </c>
      <c r="B3" s="3" t="s">
        <v>4</v>
      </c>
    </row>
    <row r="4" spans="1:6" ht="19.95" customHeight="1" x14ac:dyDescent="0.3"/>
    <row r="5" spans="1:6" x14ac:dyDescent="0.3">
      <c r="A5" s="4" t="s">
        <v>5</v>
      </c>
      <c r="B5" s="4" t="s">
        <v>6</v>
      </c>
    </row>
    <row r="6" spans="1:6" x14ac:dyDescent="0.3">
      <c r="A6" t="s">
        <v>7</v>
      </c>
      <c r="B6">
        <v>52</v>
      </c>
    </row>
    <row r="7" spans="1:6" x14ac:dyDescent="0.3">
      <c r="A7" t="s">
        <v>8</v>
      </c>
      <c r="B7">
        <v>58</v>
      </c>
      <c r="F7">
        <f>COUNT(Day4Data[Test_Score])</f>
        <v>40</v>
      </c>
    </row>
    <row r="8" spans="1:6" x14ac:dyDescent="0.3">
      <c r="A8" t="s">
        <v>9</v>
      </c>
      <c r="B8">
        <v>61</v>
      </c>
    </row>
    <row r="9" spans="1:6" x14ac:dyDescent="0.3">
      <c r="A9" t="s">
        <v>10</v>
      </c>
      <c r="B9">
        <v>63</v>
      </c>
    </row>
    <row r="10" spans="1:6" x14ac:dyDescent="0.3">
      <c r="A10" t="s">
        <v>11</v>
      </c>
      <c r="B10">
        <v>65</v>
      </c>
    </row>
    <row r="11" spans="1:6" x14ac:dyDescent="0.3">
      <c r="A11" t="s">
        <v>12</v>
      </c>
      <c r="B11">
        <v>66</v>
      </c>
    </row>
    <row r="12" spans="1:6" x14ac:dyDescent="0.3">
      <c r="A12" t="s">
        <v>13</v>
      </c>
      <c r="B12">
        <v>68</v>
      </c>
    </row>
    <row r="13" spans="1:6" x14ac:dyDescent="0.3">
      <c r="A13" t="s">
        <v>14</v>
      </c>
      <c r="B13">
        <v>69</v>
      </c>
    </row>
    <row r="14" spans="1:6" x14ac:dyDescent="0.3">
      <c r="A14" t="s">
        <v>15</v>
      </c>
      <c r="B14">
        <v>71</v>
      </c>
    </row>
    <row r="15" spans="1:6" x14ac:dyDescent="0.3">
      <c r="A15" t="s">
        <v>16</v>
      </c>
      <c r="B15">
        <v>72</v>
      </c>
    </row>
    <row r="16" spans="1:6" x14ac:dyDescent="0.3">
      <c r="A16" t="s">
        <v>17</v>
      </c>
      <c r="B16">
        <v>73</v>
      </c>
    </row>
    <row r="17" spans="1:2" x14ac:dyDescent="0.3">
      <c r="A17" t="s">
        <v>18</v>
      </c>
      <c r="B17">
        <v>74</v>
      </c>
    </row>
    <row r="18" spans="1:2" x14ac:dyDescent="0.3">
      <c r="A18" t="s">
        <v>19</v>
      </c>
      <c r="B18">
        <v>75</v>
      </c>
    </row>
    <row r="19" spans="1:2" x14ac:dyDescent="0.3">
      <c r="A19" t="s">
        <v>20</v>
      </c>
      <c r="B19">
        <v>76</v>
      </c>
    </row>
    <row r="20" spans="1:2" x14ac:dyDescent="0.3">
      <c r="A20" t="s">
        <v>21</v>
      </c>
      <c r="B20">
        <v>76</v>
      </c>
    </row>
    <row r="21" spans="1:2" x14ac:dyDescent="0.3">
      <c r="A21" t="s">
        <v>22</v>
      </c>
      <c r="B21">
        <v>77</v>
      </c>
    </row>
    <row r="22" spans="1:2" x14ac:dyDescent="0.3">
      <c r="A22" t="s">
        <v>23</v>
      </c>
      <c r="B22">
        <v>78</v>
      </c>
    </row>
    <row r="23" spans="1:2" x14ac:dyDescent="0.3">
      <c r="A23" t="s">
        <v>24</v>
      </c>
      <c r="B23">
        <v>79</v>
      </c>
    </row>
    <row r="24" spans="1:2" x14ac:dyDescent="0.3">
      <c r="A24" t="s">
        <v>25</v>
      </c>
      <c r="B24">
        <v>80</v>
      </c>
    </row>
    <row r="25" spans="1:2" x14ac:dyDescent="0.3">
      <c r="A25" t="s">
        <v>26</v>
      </c>
      <c r="B25">
        <v>81</v>
      </c>
    </row>
    <row r="26" spans="1:2" x14ac:dyDescent="0.3">
      <c r="A26" t="s">
        <v>27</v>
      </c>
      <c r="B26">
        <v>82</v>
      </c>
    </row>
    <row r="27" spans="1:2" x14ac:dyDescent="0.3">
      <c r="A27" t="s">
        <v>28</v>
      </c>
      <c r="B27">
        <v>83</v>
      </c>
    </row>
    <row r="28" spans="1:2" x14ac:dyDescent="0.3">
      <c r="A28" t="s">
        <v>29</v>
      </c>
      <c r="B28">
        <v>84</v>
      </c>
    </row>
    <row r="29" spans="1:2" x14ac:dyDescent="0.3">
      <c r="A29" t="s">
        <v>30</v>
      </c>
      <c r="B29">
        <v>85</v>
      </c>
    </row>
    <row r="30" spans="1:2" x14ac:dyDescent="0.3">
      <c r="A30" t="s">
        <v>31</v>
      </c>
      <c r="B30">
        <v>85</v>
      </c>
    </row>
    <row r="31" spans="1:2" x14ac:dyDescent="0.3">
      <c r="A31" t="s">
        <v>32</v>
      </c>
      <c r="B31">
        <v>86</v>
      </c>
    </row>
    <row r="32" spans="1:2" x14ac:dyDescent="0.3">
      <c r="A32" t="s">
        <v>33</v>
      </c>
      <c r="B32">
        <v>87</v>
      </c>
    </row>
    <row r="33" spans="1:2" x14ac:dyDescent="0.3">
      <c r="A33" t="s">
        <v>34</v>
      </c>
      <c r="B33">
        <v>88</v>
      </c>
    </row>
    <row r="34" spans="1:2" x14ac:dyDescent="0.3">
      <c r="A34" t="s">
        <v>35</v>
      </c>
      <c r="B34">
        <v>88</v>
      </c>
    </row>
    <row r="35" spans="1:2" x14ac:dyDescent="0.3">
      <c r="A35" t="s">
        <v>36</v>
      </c>
      <c r="B35">
        <v>89</v>
      </c>
    </row>
    <row r="36" spans="1:2" x14ac:dyDescent="0.3">
      <c r="A36" t="s">
        <v>37</v>
      </c>
      <c r="B36">
        <v>90</v>
      </c>
    </row>
    <row r="37" spans="1:2" x14ac:dyDescent="0.3">
      <c r="A37" t="s">
        <v>38</v>
      </c>
      <c r="B37">
        <v>91</v>
      </c>
    </row>
    <row r="38" spans="1:2" x14ac:dyDescent="0.3">
      <c r="A38" t="s">
        <v>39</v>
      </c>
      <c r="B38">
        <v>92</v>
      </c>
    </row>
    <row r="39" spans="1:2" x14ac:dyDescent="0.3">
      <c r="A39" t="s">
        <v>40</v>
      </c>
      <c r="B39">
        <v>93</v>
      </c>
    </row>
    <row r="40" spans="1:2" x14ac:dyDescent="0.3">
      <c r="A40" t="s">
        <v>41</v>
      </c>
      <c r="B40">
        <v>94</v>
      </c>
    </row>
    <row r="41" spans="1:2" x14ac:dyDescent="0.3">
      <c r="A41" t="s">
        <v>42</v>
      </c>
      <c r="B41">
        <v>95</v>
      </c>
    </row>
    <row r="42" spans="1:2" x14ac:dyDescent="0.3">
      <c r="A42" t="s">
        <v>43</v>
      </c>
      <c r="B42">
        <v>96</v>
      </c>
    </row>
    <row r="43" spans="1:2" x14ac:dyDescent="0.3">
      <c r="A43" t="s">
        <v>44</v>
      </c>
      <c r="B43">
        <v>97</v>
      </c>
    </row>
    <row r="44" spans="1:2" x14ac:dyDescent="0.3">
      <c r="A44" t="s">
        <v>45</v>
      </c>
      <c r="B44">
        <v>98</v>
      </c>
    </row>
    <row r="45" spans="1:2" x14ac:dyDescent="0.3">
      <c r="A45" t="s">
        <v>46</v>
      </c>
      <c r="B45">
        <v>99</v>
      </c>
    </row>
    <row r="46" spans="1:2" x14ac:dyDescent="0.3">
      <c r="A46" t="s">
        <v>47</v>
      </c>
      <c r="B46">
        <f>_xlfn.QUARTILE.INC(Day4Data[Test_Score],1)</f>
        <v>72.75</v>
      </c>
    </row>
    <row r="47" spans="1:2" x14ac:dyDescent="0.3">
      <c r="A47" t="s">
        <v>48</v>
      </c>
      <c r="B47">
        <f>_xlfn.QUARTILE.INC(Day4Data[Test_Score],2)</f>
        <v>81.5</v>
      </c>
    </row>
    <row r="48" spans="1:2" x14ac:dyDescent="0.3">
      <c r="A48" t="s">
        <v>49</v>
      </c>
      <c r="B48">
        <f>_xlfn.QUARTILE.INC(Day4Data[Test_Score],3)</f>
        <v>89.25</v>
      </c>
    </row>
    <row r="49" spans="1:2" x14ac:dyDescent="0.3">
      <c r="A49" t="s">
        <v>50</v>
      </c>
      <c r="B49">
        <f>B48-B46</f>
        <v>16.5</v>
      </c>
    </row>
    <row r="50" spans="1:2" x14ac:dyDescent="0.3">
      <c r="A50" t="s">
        <v>51</v>
      </c>
      <c r="B50">
        <f>_xlfn.PERCENTILE.INC(Day4Data[Test_Score],0.9)</f>
        <v>95.1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2026-05-03T14:36:27Z</dcterms:created>
  <dcterms:modified xsi:type="dcterms:W3CDTF">2026-05-03T14:36:57Z</dcterms:modified>
</cp:coreProperties>
</file>