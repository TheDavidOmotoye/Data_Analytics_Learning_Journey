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31ac04eec9a4d31/Documents/"/>
    </mc:Choice>
  </mc:AlternateContent>
  <xr:revisionPtr revIDLastSave="0" documentId="8_{F7DBC8E6-F097-4EEF-8172-8C74003E7678}" xr6:coauthVersionLast="47" xr6:coauthVersionMax="47" xr10:uidLastSave="{00000000-0000-0000-0000-000000000000}"/>
  <bookViews>
    <workbookView xWindow="-108" yWindow="-108" windowWidth="23256" windowHeight="12456" xr2:uid="{3E2FA15B-1D67-4657-9F56-181AE20A0178}"/>
  </bookViews>
  <sheets>
    <sheet name="Day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C28" i="1"/>
  <c r="B28" i="1"/>
  <c r="D27" i="1"/>
  <c r="C27" i="1"/>
  <c r="B27" i="1"/>
  <c r="D26" i="1" a="1"/>
  <c r="D26" i="1" s="1"/>
  <c r="C26" i="1" a="1"/>
  <c r="C26" i="1" s="1"/>
  <c r="B26" i="1"/>
  <c r="M16" i="1"/>
  <c r="L16" i="1"/>
  <c r="K16" i="1"/>
  <c r="I11" i="1"/>
  <c r="H11" i="1"/>
  <c r="G11" i="1"/>
  <c r="G12" i="1" s="1"/>
  <c r="I10" i="1"/>
  <c r="I12" i="1" s="1"/>
  <c r="H10" i="1"/>
  <c r="H12" i="1" s="1"/>
  <c r="G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<sst xmlns="http://schemas.openxmlformats.org/spreadsheetml/2006/main" count="17" uniqueCount="17">
  <si>
    <t>Day 3 Dataset: Range, Variance, Standard Deviation</t>
  </si>
  <si>
    <t>Objective</t>
  </si>
  <si>
    <t>Measure variability of weekly order values.</t>
  </si>
  <si>
    <t>Suggested practice</t>
  </si>
  <si>
    <t>Calculate range, variance, and standard deviation for each store. Decide which store is most consistent.</t>
  </si>
  <si>
    <t>Week</t>
  </si>
  <si>
    <t>Store_A_Order_Value</t>
  </si>
  <si>
    <t>Store_B_Order_Value</t>
  </si>
  <si>
    <t>Store_C_Order_Value</t>
  </si>
  <si>
    <t>A</t>
  </si>
  <si>
    <t>B</t>
  </si>
  <si>
    <t>C</t>
  </si>
  <si>
    <t>MAX</t>
  </si>
  <si>
    <t>MIN</t>
  </si>
  <si>
    <t>RANGE</t>
  </si>
  <si>
    <t>VARIANCE</t>
  </si>
  <si>
    <t>STANDARD DEV.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</si>
</sst>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\$#,##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1F1F1F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3F3F3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3" fillId="2" borderId="0" xfId="0" applyFont="1" applyFill="1"/>
    <xf numFmtId="0" fontId="0" fillId="3" borderId="0" xfId="0" applyFill="1" applyAlignment="1">
      <alignment wrapText="1"/>
    </xf>
    <xf numFmtId="0" fontId="4" fillId="4" borderId="0" xfId="0" applyFont="1" applyFill="1" applyAlignment="1">
      <alignment horizontal="center"/>
    </xf>
    <xf numFmtId="164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2389EA-D904-4B02-83AA-E099D07260C9}" name="Day3Data" displayName="Day3Data" ref="A5:D26" totalsRowCount="1">
  <autoFilter ref="A5:D25" xr:uid="{00000000-0009-0000-0100-000003000000}"/>
  <tableColumns count="4">
    <tableColumn id="1" xr3:uid="{D8F4481E-14BA-4DB1-807E-CBAEB4C69AFF}" name="Week" totalsRowLabel="RANGE"/>
    <tableColumn id="2" xr3:uid="{227AFB6E-2BFC-4230-9851-3329162D7AB7}" name="Store_A_Order_Value" totalsRowFunction="custom" totalsRowCellStyle="Comma">
      <totalsRowFormula>MAX(Day3Data[Store_A_Order_Value])-MIN(Day3Data[Store_A_Order_Value])</totalsRowFormula>
    </tableColumn>
    <tableColumn id="3" xr3:uid="{0AD6DA82-29EF-4542-AD1E-B6E20A84FE07}" name="Store_B_Order_Value" totalsRowFunction="custom" totalsRowCellStyle="Comma">
      <totalsRowFormula array="1">MAX(Day3Data[Store_B_Order_Value]-MIN(Day3Data[Store_B_Order_Value]))</totalsRowFormula>
    </tableColumn>
    <tableColumn id="4" xr3:uid="{59E937E1-0E9F-4386-94BD-71AFC780CE38}" name="Store_C_Order_Value" totalsRowFunction="custom" totalsRowCellStyle="Comma">
      <totalsRowFormula array="1">MAX(Day3Data[Store_C_Order_Value]-MIN(Day3Data[Store_C_Order_Value]))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0A388-F0D6-46D4-A935-731AB864E725}">
  <dimension ref="A1:M28"/>
  <sheetViews>
    <sheetView tabSelected="1" workbookViewId="0">
      <pane ySplit="4" topLeftCell="A17" activePane="bottomLeft" state="frozen"/>
      <selection pane="bottomLeft" activeCell="B28" sqref="B28"/>
    </sheetView>
  </sheetViews>
  <sheetFormatPr defaultRowHeight="14.4" x14ac:dyDescent="0.3"/>
  <cols>
    <col min="1" max="1" width="18" customWidth="1"/>
    <col min="2" max="2" width="32" customWidth="1"/>
    <col min="3" max="4" width="23.77734375" bestFit="1" customWidth="1"/>
  </cols>
  <sheetData>
    <row r="1" spans="1:13" ht="19.95" customHeight="1" x14ac:dyDescent="0.4">
      <c r="A1" s="1" t="s">
        <v>0</v>
      </c>
    </row>
    <row r="2" spans="1:13" ht="28.8" x14ac:dyDescent="0.3">
      <c r="A2" s="2" t="s">
        <v>1</v>
      </c>
      <c r="B2" s="3" t="s">
        <v>2</v>
      </c>
    </row>
    <row r="3" spans="1:13" ht="57.6" x14ac:dyDescent="0.3">
      <c r="A3" s="2" t="s">
        <v>3</v>
      </c>
      <c r="B3" s="3" t="s">
        <v>4</v>
      </c>
    </row>
    <row r="4" spans="1:13" ht="19.95" customHeight="1" x14ac:dyDescent="0.3"/>
    <row r="5" spans="1:13" x14ac:dyDescent="0.3">
      <c r="A5" s="4" t="s">
        <v>5</v>
      </c>
      <c r="B5" s="4" t="s">
        <v>6</v>
      </c>
      <c r="C5" s="4" t="s">
        <v>7</v>
      </c>
      <c r="D5" s="4" t="s">
        <v>8</v>
      </c>
    </row>
    <row r="6" spans="1:13" x14ac:dyDescent="0.3">
      <c r="A6">
        <v>1</v>
      </c>
      <c r="B6" s="5">
        <v>1081</v>
      </c>
      <c r="C6" s="5">
        <v>1008</v>
      </c>
      <c r="D6" s="5">
        <v>799</v>
      </c>
    </row>
    <row r="7" spans="1:13" x14ac:dyDescent="0.3">
      <c r="A7">
        <v>2</v>
      </c>
      <c r="B7" s="5">
        <v>1048</v>
      </c>
      <c r="C7" s="5">
        <v>827</v>
      </c>
      <c r="D7" s="5">
        <v>1320</v>
      </c>
    </row>
    <row r="8" spans="1:13" x14ac:dyDescent="0.3">
      <c r="A8">
        <v>3</v>
      </c>
      <c r="B8" s="5">
        <v>1056</v>
      </c>
      <c r="C8" s="5">
        <v>1055</v>
      </c>
      <c r="D8" s="5">
        <v>1064</v>
      </c>
    </row>
    <row r="9" spans="1:13" x14ac:dyDescent="0.3">
      <c r="A9">
        <v>4</v>
      </c>
      <c r="B9" s="5">
        <v>972</v>
      </c>
      <c r="C9" s="5">
        <v>1161</v>
      </c>
      <c r="D9" s="5">
        <v>1064</v>
      </c>
      <c r="G9" t="s">
        <v>9</v>
      </c>
      <c r="H9" t="s">
        <v>10</v>
      </c>
      <c r="I9" t="s">
        <v>11</v>
      </c>
    </row>
    <row r="10" spans="1:13" x14ac:dyDescent="0.3">
      <c r="A10">
        <v>5</v>
      </c>
      <c r="B10" s="5">
        <v>1014</v>
      </c>
      <c r="C10" s="5">
        <v>857</v>
      </c>
      <c r="D10" s="5">
        <v>676</v>
      </c>
      <c r="F10" t="s">
        <v>12</v>
      </c>
      <c r="G10">
        <f>MAX(Day3Data[Store_A_Order_Value])</f>
        <v>1081</v>
      </c>
      <c r="H10">
        <f>MAX(Day3Data[Store_B_Order_Value])</f>
        <v>1256</v>
      </c>
      <c r="I10">
        <f>MAX(Day3Data[Store_C_Order_Value])</f>
        <v>1436</v>
      </c>
    </row>
    <row r="11" spans="1:13" x14ac:dyDescent="0.3">
      <c r="A11">
        <v>6</v>
      </c>
      <c r="B11" s="5">
        <v>934</v>
      </c>
      <c r="C11" s="5">
        <v>1097</v>
      </c>
      <c r="D11" s="5">
        <v>1021</v>
      </c>
      <c r="F11" t="s">
        <v>13</v>
      </c>
      <c r="G11">
        <f>MIN(Day3Data[Store_A_Order_Value])</f>
        <v>913</v>
      </c>
      <c r="H11">
        <f>MIN(Day3Data[Store_B_Order_Value])</f>
        <v>810</v>
      </c>
      <c r="I11">
        <f>MIN(Day3Data[Store_C_Order_Value])</f>
        <v>631</v>
      </c>
    </row>
    <row r="12" spans="1:13" x14ac:dyDescent="0.3">
      <c r="A12">
        <v>7</v>
      </c>
      <c r="B12" s="5">
        <v>1000</v>
      </c>
      <c r="C12" s="5">
        <v>976</v>
      </c>
      <c r="D12" s="5">
        <v>1000</v>
      </c>
      <c r="G12">
        <f>G10-G11</f>
        <v>168</v>
      </c>
      <c r="H12">
        <f>H10-H11</f>
        <v>446</v>
      </c>
      <c r="I12">
        <f>I10-I11</f>
        <v>805</v>
      </c>
    </row>
    <row r="13" spans="1:13" x14ac:dyDescent="0.3">
      <c r="A13">
        <v>8</v>
      </c>
      <c r="B13" s="5">
        <v>1029</v>
      </c>
      <c r="C13" s="5">
        <v>1202</v>
      </c>
      <c r="D13" s="5">
        <v>1326</v>
      </c>
    </row>
    <row r="14" spans="1:13" x14ac:dyDescent="0.3">
      <c r="A14">
        <v>9</v>
      </c>
      <c r="B14" s="5">
        <v>923</v>
      </c>
      <c r="C14" s="5">
        <v>1104</v>
      </c>
      <c r="D14" s="5">
        <v>1249</v>
      </c>
    </row>
    <row r="15" spans="1:13" x14ac:dyDescent="0.3">
      <c r="A15">
        <v>10</v>
      </c>
      <c r="B15" s="5">
        <v>1075</v>
      </c>
      <c r="C15" s="5">
        <v>810</v>
      </c>
      <c r="D15" s="5">
        <v>642</v>
      </c>
    </row>
    <row r="16" spans="1:13" x14ac:dyDescent="0.3">
      <c r="A16">
        <v>11</v>
      </c>
      <c r="B16" s="5">
        <v>1013</v>
      </c>
      <c r="C16" s="5">
        <v>1132</v>
      </c>
      <c r="D16" s="5">
        <v>927</v>
      </c>
      <c r="K16">
        <f>AVERAGE(Day3Data[Store_A_Order_Value])</f>
        <v>995.2</v>
      </c>
      <c r="L16">
        <f>AVERAGE(Day3Data[Store_B_Order_Value])</f>
        <v>1002.75</v>
      </c>
      <c r="M16">
        <f>AVERAGE(Day3Data[Store_C_Order_Value])</f>
        <v>982.5</v>
      </c>
    </row>
    <row r="17" spans="1:4" x14ac:dyDescent="0.3">
      <c r="A17">
        <v>12</v>
      </c>
      <c r="B17" s="5">
        <v>937</v>
      </c>
      <c r="C17" s="5">
        <v>887</v>
      </c>
      <c r="D17" s="5">
        <v>776</v>
      </c>
    </row>
    <row r="18" spans="1:4" x14ac:dyDescent="0.3">
      <c r="A18">
        <v>13</v>
      </c>
      <c r="B18" s="5">
        <v>958</v>
      </c>
      <c r="C18" s="5">
        <v>1034</v>
      </c>
      <c r="D18" s="5">
        <v>1039</v>
      </c>
    </row>
    <row r="19" spans="1:4" x14ac:dyDescent="0.3">
      <c r="A19">
        <v>14</v>
      </c>
      <c r="B19" s="5">
        <v>945</v>
      </c>
      <c r="C19" s="5">
        <v>976</v>
      </c>
      <c r="D19" s="5">
        <v>767</v>
      </c>
    </row>
    <row r="20" spans="1:4" x14ac:dyDescent="0.3">
      <c r="A20">
        <v>15</v>
      </c>
      <c r="B20" s="5">
        <v>981</v>
      </c>
      <c r="C20" s="5">
        <v>996</v>
      </c>
      <c r="D20" s="5">
        <v>835</v>
      </c>
    </row>
    <row r="21" spans="1:4" x14ac:dyDescent="0.3">
      <c r="A21">
        <v>16</v>
      </c>
      <c r="B21" s="5">
        <v>929</v>
      </c>
      <c r="C21" s="5">
        <v>986</v>
      </c>
      <c r="D21" s="5">
        <v>1407</v>
      </c>
    </row>
    <row r="22" spans="1:4" x14ac:dyDescent="0.3">
      <c r="A22">
        <v>17</v>
      </c>
      <c r="B22" s="5">
        <v>1050</v>
      </c>
      <c r="C22" s="5">
        <v>810</v>
      </c>
      <c r="D22" s="5">
        <v>631</v>
      </c>
    </row>
    <row r="23" spans="1:4" x14ac:dyDescent="0.3">
      <c r="A23">
        <v>18</v>
      </c>
      <c r="B23" s="5">
        <v>1076</v>
      </c>
      <c r="C23" s="5">
        <v>1036</v>
      </c>
      <c r="D23" s="5">
        <v>1436</v>
      </c>
    </row>
    <row r="24" spans="1:4" x14ac:dyDescent="0.3">
      <c r="A24">
        <v>19</v>
      </c>
      <c r="B24" s="5">
        <v>913</v>
      </c>
      <c r="C24" s="5">
        <v>1256</v>
      </c>
      <c r="D24" s="5">
        <v>675</v>
      </c>
    </row>
    <row r="25" spans="1:4" x14ac:dyDescent="0.3">
      <c r="A25">
        <v>20</v>
      </c>
      <c r="B25" s="5">
        <v>970</v>
      </c>
      <c r="C25" s="5">
        <v>845</v>
      </c>
      <c r="D25" s="5">
        <v>996</v>
      </c>
    </row>
    <row r="26" spans="1:4" x14ac:dyDescent="0.3">
      <c r="A26" t="s">
        <v>14</v>
      </c>
      <c r="B26" s="6">
        <f>MAX(Day3Data[Store_A_Order_Value])-MIN(Day3Data[Store_A_Order_Value])</f>
        <v>168</v>
      </c>
      <c r="C26" s="6" cm="1">
        <f t="array" ref="C26">MAX(Day3Data[Store_B_Order_Value]-MIN(Day3Data[Store_B_Order_Value]))</f>
        <v>446</v>
      </c>
      <c r="D26" s="6" cm="1">
        <f t="array" ref="D26">MAX(Day3Data[Store_C_Order_Value]-MIN(Day3Data[Store_C_Order_Value]))</f>
        <v>805</v>
      </c>
    </row>
    <row r="27" spans="1:4" x14ac:dyDescent="0.3">
      <c r="A27" t="s">
        <v>15</v>
      </c>
      <c r="B27" s="6">
        <f>_xlfn.VAR.S(Day3Data[Store_A_Order_Value])</f>
        <v>3176.0631578947364</v>
      </c>
      <c r="C27" s="6">
        <f>_xlfn.VAR.S(Day3Data[Store_B_Order_Value])</f>
        <v>17686.092105263157</v>
      </c>
      <c r="D27" s="6">
        <f>_xlfn.VAR.S(Day3Data[Store_C_Order_Value])</f>
        <v>67516.473684210519</v>
      </c>
    </row>
    <row r="28" spans="1:4" x14ac:dyDescent="0.3">
      <c r="A28" t="s">
        <v>16</v>
      </c>
      <c r="B28" s="6">
        <f>_xlfn.STDEV.S(Day3Data[Store_A_Order_Value])</f>
        <v>56.356571559089154</v>
      </c>
      <c r="C28" s="6">
        <f>_xlfn.STDEV.S(Day3Data[Store_B_Order_Value])</f>
        <v>132.98906761558695</v>
      </c>
      <c r="D28" s="6">
        <f>_xlfn.STDEV.S(Day3Data[Store_C_Order_Value])</f>
        <v>259.83932282125915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Omotoye</dc:creator>
  <cp:lastModifiedBy>David Omotoye</cp:lastModifiedBy>
  <dcterms:created xsi:type="dcterms:W3CDTF">2026-05-03T14:20:24Z</dcterms:created>
  <dcterms:modified xsi:type="dcterms:W3CDTF">2026-05-03T14:20:42Z</dcterms:modified>
</cp:coreProperties>
</file>