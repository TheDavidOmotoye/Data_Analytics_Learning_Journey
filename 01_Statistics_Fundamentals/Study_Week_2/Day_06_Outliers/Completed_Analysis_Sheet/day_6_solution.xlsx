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895BEAC9-D8F7-4D90-B32E-BFCF26492C23}" xr6:coauthVersionLast="47" xr6:coauthVersionMax="47" xr10:uidLastSave="{00000000-0000-0000-0000-000000000000}"/>
  <bookViews>
    <workbookView xWindow="-108" yWindow="-108" windowWidth="23256" windowHeight="12456" xr2:uid="{CD05FAE5-F4B2-4EA0-BFF6-59365F6911A6}"/>
  </bookViews>
  <sheets>
    <sheet name="Day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" i="1" l="1"/>
  <c r="B47" i="1"/>
  <c r="B49" i="1" l="1"/>
  <c r="B50" i="1" s="1"/>
  <c r="C17" i="1" l="1"/>
  <c r="C35" i="1"/>
  <c r="C7" i="1"/>
  <c r="C14" i="1"/>
  <c r="C36" i="1"/>
  <c r="C20" i="1"/>
  <c r="C43" i="1"/>
  <c r="C11" i="1"/>
  <c r="C38" i="1"/>
  <c r="C18" i="1"/>
  <c r="C10" i="1"/>
  <c r="B51" i="1"/>
  <c r="C45" i="1" s="1"/>
  <c r="C33" i="1" l="1"/>
  <c r="C8" i="1"/>
  <c r="C24" i="1"/>
  <c r="C40" i="1"/>
  <c r="C22" i="1"/>
  <c r="C15" i="1"/>
  <c r="C39" i="1"/>
  <c r="C21" i="1"/>
  <c r="C37" i="1"/>
  <c r="C26" i="1"/>
  <c r="C23" i="1"/>
  <c r="C12" i="1"/>
  <c r="C28" i="1"/>
  <c r="C44" i="1"/>
  <c r="C30" i="1"/>
  <c r="C19" i="1"/>
  <c r="C9" i="1"/>
  <c r="C25" i="1"/>
  <c r="C41" i="1"/>
  <c r="C34" i="1"/>
  <c r="C31" i="1"/>
  <c r="C16" i="1"/>
  <c r="C32" i="1"/>
  <c r="C6" i="1"/>
  <c r="C42" i="1"/>
  <c r="C27" i="1"/>
  <c r="C13" i="1"/>
  <c r="C29" i="1"/>
</calcChain>
</file>

<file path=xl/sharedStrings.xml><?xml version="1.0" encoding="utf-8"?>
<sst xmlns="http://schemas.openxmlformats.org/spreadsheetml/2006/main" count="53" uniqueCount="53">
  <si>
    <t>Day 6 Dataset: Outliers</t>
  </si>
  <si>
    <t>Objective</t>
  </si>
  <si>
    <t>Use the IQR method to detect unusually large or small values.</t>
  </si>
  <si>
    <t>Suggested practice</t>
  </si>
  <si>
    <t>Calculate Q1, Q3, IQR, lower bound, and upper bound. Flag outliers among transaction amounts.</t>
  </si>
  <si>
    <t>Transaction_ID</t>
  </si>
  <si>
    <t>Transaction_Amount</t>
  </si>
  <si>
    <t>Outliers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</si>
  <si>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</si>
  <si>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</si>
  <si>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</si>
  <si>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</si>
  <si>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</si>
  <si>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</si>
  <si>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</si>
  <si>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</si>
  <si>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</si>
  <si>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</si>
  <si>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</si>
  <si>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</si>
  <si>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</si>
  <si>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</si>
  <si>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</si>
  <si>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</si>
  <si>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</si>
  <si>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</si>
  <si>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</si>
  <si>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</si>
  <si>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</si>
  <si>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</si>
  <si>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</si>
  <si>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</si>
  <si>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</si>
  <si>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</si>
  <si>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</si>
  <si>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</si>
  <si>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</si>
  <si>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</si>
  <si>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</si>
  <si>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</si>
  <si>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</si>
  <si>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</si>
  <si>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</si>
  <si>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</si>
  <si>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</si>
  <si>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</si>
  <si>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</si>
  <si>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</si>
  <si>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Q1 (1ST QUARTILE)</t>
  </si>
  <si>
    <t>Q3 (3RD QUARTILE)</t>
  </si>
  <si>
    <t>IQR</t>
  </si>
  <si>
    <t>LOWER BOUND</t>
  </si>
  <si>
    <t>UPPER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</si>
</sst>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4" x14ac:knownFonts="1">
    <font>
      <sz val="11"/>
      <color theme="1"/>
      <name val="Calibri"/>
      <family val="2"/>
      <scheme val="minor"/>
    </font>
    <font>
      <b/>
      <sz val="16"/>
      <color rgb="FF1F1F1F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3F3F3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 applyAlignment="1">
      <alignment wrapText="1"/>
    </xf>
    <xf numFmtId="0" fontId="3" fillId="4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39A1E3-2CE7-4B22-91C1-7C336A2AAAAF}" name="Day6Data" displayName="Day6Data" ref="A5:C45">
  <autoFilter ref="A5:C45" xr:uid="{00000000-0009-0000-0100-000006000000}"/>
  <tableColumns count="3">
    <tableColumn id="1" xr3:uid="{3D78E5F1-4F6E-45F6-8F46-C7EFEB5E1EE3}" name="Transaction_ID"/>
    <tableColumn id="2" xr3:uid="{CDE25B10-440B-4783-894C-E8318EEF635C}" name="Transaction_Amount"/>
    <tableColumn id="3" xr3:uid="{16D3EFBA-742E-46C0-8C75-81F38621D955}" name="Outliers" dataDxfId="0">
      <calculatedColumnFormula>IF(OR(Day6Data[[#This Row],[Transaction_Amount]]&lt;$B$50,Day6Data[[#This Row],[Transaction_Amount]]&gt;$B$51),"Outlier","Normal")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0B474-F5D9-4FE0-B86B-1796DCD33D7C}">
  <dimension ref="A1:C51"/>
  <sheetViews>
    <sheetView tabSelected="1" workbookViewId="0">
      <pane ySplit="4" topLeftCell="A5" activePane="bottomLeft" state="frozen"/>
      <selection pane="bottomLeft" activeCell="B7" sqref="B7"/>
    </sheetView>
  </sheetViews>
  <sheetFormatPr defaultRowHeight="14.4" x14ac:dyDescent="0.3"/>
  <cols>
    <col min="1" max="1" width="18" customWidth="1"/>
    <col min="2" max="2" width="32" customWidth="1"/>
    <col min="3" max="3" width="10.77734375" bestFit="1" customWidth="1"/>
  </cols>
  <sheetData>
    <row r="1" spans="1:3" ht="19.95" customHeight="1" x14ac:dyDescent="0.4">
      <c r="A1" s="1" t="s">
        <v>0</v>
      </c>
    </row>
    <row r="2" spans="1:3" ht="28.8" x14ac:dyDescent="0.3">
      <c r="A2" s="2" t="s">
        <v>1</v>
      </c>
      <c r="B2" s="3" t="s">
        <v>2</v>
      </c>
    </row>
    <row r="3" spans="1:3" ht="43.2" x14ac:dyDescent="0.3">
      <c r="A3" s="2" t="s">
        <v>3</v>
      </c>
      <c r="B3" s="3" t="s">
        <v>4</v>
      </c>
    </row>
    <row r="4" spans="1:3" ht="19.95" customHeight="1" x14ac:dyDescent="0.3"/>
    <row r="5" spans="1:3" x14ac:dyDescent="0.3">
      <c r="A5" s="4" t="s">
        <v>5</v>
      </c>
      <c r="B5" s="4" t="s">
        <v>6</v>
      </c>
      <c r="C5" t="s">
        <v>7</v>
      </c>
    </row>
    <row r="6" spans="1:3" x14ac:dyDescent="0.3">
      <c r="A6" t="s">
        <v>8</v>
      </c>
      <c r="B6" s="5">
        <v>42</v>
      </c>
      <c r="C6" t="str">
        <f>IF(OR(Day6Data[[#This Row],[Transaction_Amount]]&lt;$B$50,Day6Data[[#This Row],[Transaction_Amount]]&gt;$B$51),"Outlier","Normal")</f>
        <v>Normal</v>
      </c>
    </row>
    <row r="7" spans="1:3" x14ac:dyDescent="0.3">
      <c r="A7" t="s">
        <v>9</v>
      </c>
      <c r="B7" s="5">
        <v>45</v>
      </c>
      <c r="C7" t="str">
        <f>IF(OR(Day6Data[[#This Row],[Transaction_Amount]]&lt;$B$50,Day6Data[[#This Row],[Transaction_Amount]]&gt;$B$51),"Outlier","Normal")</f>
        <v>Normal</v>
      </c>
    </row>
    <row r="8" spans="1:3" x14ac:dyDescent="0.3">
      <c r="A8" t="s">
        <v>10</v>
      </c>
      <c r="B8" s="5">
        <v>47</v>
      </c>
      <c r="C8" t="str">
        <f>IF(OR(Day6Data[[#This Row],[Transaction_Amount]]&lt;$B$50,Day6Data[[#This Row],[Transaction_Amount]]&gt;$B$51),"Outlier","Normal")</f>
        <v>Normal</v>
      </c>
    </row>
    <row r="9" spans="1:3" x14ac:dyDescent="0.3">
      <c r="A9" t="s">
        <v>11</v>
      </c>
      <c r="B9" s="5">
        <v>49</v>
      </c>
      <c r="C9" t="str">
        <f>IF(OR(Day6Data[[#This Row],[Transaction_Amount]]&lt;$B$50,Day6Data[[#This Row],[Transaction_Amount]]&gt;$B$51),"Outlier","Normal")</f>
        <v>Normal</v>
      </c>
    </row>
    <row r="10" spans="1:3" x14ac:dyDescent="0.3">
      <c r="A10" t="s">
        <v>12</v>
      </c>
      <c r="B10" s="5">
        <v>50</v>
      </c>
      <c r="C10" t="str">
        <f>IF(OR(Day6Data[[#This Row],[Transaction_Amount]]&lt;$B$50,Day6Data[[#This Row],[Transaction_Amount]]&gt;$B$51),"Outlier","Normal")</f>
        <v>Normal</v>
      </c>
    </row>
    <row r="11" spans="1:3" x14ac:dyDescent="0.3">
      <c r="A11" t="s">
        <v>13</v>
      </c>
      <c r="B11" s="5">
        <v>51</v>
      </c>
      <c r="C11" t="str">
        <f>IF(OR(Day6Data[[#This Row],[Transaction_Amount]]&lt;$B$50,Day6Data[[#This Row],[Transaction_Amount]]&gt;$B$51),"Outlier","Normal")</f>
        <v>Normal</v>
      </c>
    </row>
    <row r="12" spans="1:3" x14ac:dyDescent="0.3">
      <c r="A12" t="s">
        <v>14</v>
      </c>
      <c r="B12" s="5">
        <v>52</v>
      </c>
      <c r="C12" t="str">
        <f>IF(OR(Day6Data[[#This Row],[Transaction_Amount]]&lt;$B$50,Day6Data[[#This Row],[Transaction_Amount]]&gt;$B$51),"Outlier","Normal")</f>
        <v>Normal</v>
      </c>
    </row>
    <row r="13" spans="1:3" x14ac:dyDescent="0.3">
      <c r="A13" t="s">
        <v>15</v>
      </c>
      <c r="B13" s="5">
        <v>53</v>
      </c>
      <c r="C13" t="str">
        <f>IF(OR(Day6Data[[#This Row],[Transaction_Amount]]&lt;$B$50,Day6Data[[#This Row],[Transaction_Amount]]&gt;$B$51),"Outlier","Normal")</f>
        <v>Normal</v>
      </c>
    </row>
    <row r="14" spans="1:3" x14ac:dyDescent="0.3">
      <c r="A14" t="s">
        <v>16</v>
      </c>
      <c r="B14" s="5">
        <v>54</v>
      </c>
      <c r="C14" t="str">
        <f>IF(OR(Day6Data[[#This Row],[Transaction_Amount]]&lt;$B$50,Day6Data[[#This Row],[Transaction_Amount]]&gt;$B$51),"Outlier","Normal")</f>
        <v>Normal</v>
      </c>
    </row>
    <row r="15" spans="1:3" x14ac:dyDescent="0.3">
      <c r="A15" t="s">
        <v>17</v>
      </c>
      <c r="B15" s="5">
        <v>55</v>
      </c>
      <c r="C15" t="str">
        <f>IF(OR(Day6Data[[#This Row],[Transaction_Amount]]&lt;$B$50,Day6Data[[#This Row],[Transaction_Amount]]&gt;$B$51),"Outlier","Normal")</f>
        <v>Normal</v>
      </c>
    </row>
    <row r="16" spans="1:3" x14ac:dyDescent="0.3">
      <c r="A16" t="s">
        <v>18</v>
      </c>
      <c r="B16" s="5">
        <v>56</v>
      </c>
      <c r="C16" t="str">
        <f>IF(OR(Day6Data[[#This Row],[Transaction_Amount]]&lt;$B$50,Day6Data[[#This Row],[Transaction_Amount]]&gt;$B$51),"Outlier","Normal")</f>
        <v>Normal</v>
      </c>
    </row>
    <row r="17" spans="1:3" x14ac:dyDescent="0.3">
      <c r="A17" t="s">
        <v>19</v>
      </c>
      <c r="B17" s="5">
        <v>58</v>
      </c>
      <c r="C17" t="str">
        <f>IF(OR(Day6Data[[#This Row],[Transaction_Amount]]&lt;$B$50,Day6Data[[#This Row],[Transaction_Amount]]&gt;$B$51),"Outlier","Normal")</f>
        <v>Normal</v>
      </c>
    </row>
    <row r="18" spans="1:3" x14ac:dyDescent="0.3">
      <c r="A18" t="s">
        <v>20</v>
      </c>
      <c r="B18" s="5">
        <v>59</v>
      </c>
      <c r="C18" t="str">
        <f>IF(OR(Day6Data[[#This Row],[Transaction_Amount]]&lt;$B$50,Day6Data[[#This Row],[Transaction_Amount]]&gt;$B$51),"Outlier","Normal")</f>
        <v>Normal</v>
      </c>
    </row>
    <row r="19" spans="1:3" x14ac:dyDescent="0.3">
      <c r="A19" t="s">
        <v>21</v>
      </c>
      <c r="B19" s="5">
        <v>60</v>
      </c>
      <c r="C19" t="str">
        <f>IF(OR(Day6Data[[#This Row],[Transaction_Amount]]&lt;$B$50,Day6Data[[#This Row],[Transaction_Amount]]&gt;$B$51),"Outlier","Normal")</f>
        <v>Normal</v>
      </c>
    </row>
    <row r="20" spans="1:3" x14ac:dyDescent="0.3">
      <c r="A20" t="s">
        <v>22</v>
      </c>
      <c r="B20" s="5">
        <v>61</v>
      </c>
      <c r="C20" t="str">
        <f>IF(OR(Day6Data[[#This Row],[Transaction_Amount]]&lt;$B$50,Day6Data[[#This Row],[Transaction_Amount]]&gt;$B$51),"Outlier","Normal")</f>
        <v>Normal</v>
      </c>
    </row>
    <row r="21" spans="1:3" x14ac:dyDescent="0.3">
      <c r="A21" t="s">
        <v>23</v>
      </c>
      <c r="B21" s="5">
        <v>62</v>
      </c>
      <c r="C21" t="str">
        <f>IF(OR(Day6Data[[#This Row],[Transaction_Amount]]&lt;$B$50,Day6Data[[#This Row],[Transaction_Amount]]&gt;$B$51),"Outlier","Normal")</f>
        <v>Normal</v>
      </c>
    </row>
    <row r="22" spans="1:3" x14ac:dyDescent="0.3">
      <c r="A22" t="s">
        <v>24</v>
      </c>
      <c r="B22" s="5">
        <v>63</v>
      </c>
      <c r="C22" t="str">
        <f>IF(OR(Day6Data[[#This Row],[Transaction_Amount]]&lt;$B$50,Day6Data[[#This Row],[Transaction_Amount]]&gt;$B$51),"Outlier","Normal")</f>
        <v>Normal</v>
      </c>
    </row>
    <row r="23" spans="1:3" x14ac:dyDescent="0.3">
      <c r="A23" t="s">
        <v>25</v>
      </c>
      <c r="B23" s="5">
        <v>64</v>
      </c>
      <c r="C23" t="str">
        <f>IF(OR(Day6Data[[#This Row],[Transaction_Amount]]&lt;$B$50,Day6Data[[#This Row],[Transaction_Amount]]&gt;$B$51),"Outlier","Normal")</f>
        <v>Normal</v>
      </c>
    </row>
    <row r="24" spans="1:3" x14ac:dyDescent="0.3">
      <c r="A24" t="s">
        <v>26</v>
      </c>
      <c r="B24" s="5">
        <v>65</v>
      </c>
      <c r="C24" t="str">
        <f>IF(OR(Day6Data[[#This Row],[Transaction_Amount]]&lt;$B$50,Day6Data[[#This Row],[Transaction_Amount]]&gt;$B$51),"Outlier","Normal")</f>
        <v>Normal</v>
      </c>
    </row>
    <row r="25" spans="1:3" x14ac:dyDescent="0.3">
      <c r="A25" t="s">
        <v>27</v>
      </c>
      <c r="B25" s="5">
        <v>66</v>
      </c>
      <c r="C25" t="str">
        <f>IF(OR(Day6Data[[#This Row],[Transaction_Amount]]&lt;$B$50,Day6Data[[#This Row],[Transaction_Amount]]&gt;$B$51),"Outlier","Normal")</f>
        <v>Normal</v>
      </c>
    </row>
    <row r="26" spans="1:3" x14ac:dyDescent="0.3">
      <c r="A26" t="s">
        <v>28</v>
      </c>
      <c r="B26" s="5">
        <v>67</v>
      </c>
      <c r="C26" t="str">
        <f>IF(OR(Day6Data[[#This Row],[Transaction_Amount]]&lt;$B$50,Day6Data[[#This Row],[Transaction_Amount]]&gt;$B$51),"Outlier","Normal")</f>
        <v>Normal</v>
      </c>
    </row>
    <row r="27" spans="1:3" x14ac:dyDescent="0.3">
      <c r="A27" t="s">
        <v>29</v>
      </c>
      <c r="B27" s="5">
        <v>68</v>
      </c>
      <c r="C27" t="str">
        <f>IF(OR(Day6Data[[#This Row],[Transaction_Amount]]&lt;$B$50,Day6Data[[#This Row],[Transaction_Amount]]&gt;$B$51),"Outlier","Normal")</f>
        <v>Normal</v>
      </c>
    </row>
    <row r="28" spans="1:3" x14ac:dyDescent="0.3">
      <c r="A28" t="s">
        <v>30</v>
      </c>
      <c r="B28" s="5">
        <v>70</v>
      </c>
      <c r="C28" t="str">
        <f>IF(OR(Day6Data[[#This Row],[Transaction_Amount]]&lt;$B$50,Day6Data[[#This Row],[Transaction_Amount]]&gt;$B$51),"Outlier","Normal")</f>
        <v>Normal</v>
      </c>
    </row>
    <row r="29" spans="1:3" x14ac:dyDescent="0.3">
      <c r="A29" t="s">
        <v>31</v>
      </c>
      <c r="B29" s="5">
        <v>72</v>
      </c>
      <c r="C29" t="str">
        <f>IF(OR(Day6Data[[#This Row],[Transaction_Amount]]&lt;$B$50,Day6Data[[#This Row],[Transaction_Amount]]&gt;$B$51),"Outlier","Normal")</f>
        <v>Normal</v>
      </c>
    </row>
    <row r="30" spans="1:3" x14ac:dyDescent="0.3">
      <c r="A30" t="s">
        <v>32</v>
      </c>
      <c r="B30" s="5">
        <v>74</v>
      </c>
      <c r="C30" t="str">
        <f>IF(OR(Day6Data[[#This Row],[Transaction_Amount]]&lt;$B$50,Day6Data[[#This Row],[Transaction_Amount]]&gt;$B$51),"Outlier","Normal")</f>
        <v>Normal</v>
      </c>
    </row>
    <row r="31" spans="1:3" x14ac:dyDescent="0.3">
      <c r="A31" t="s">
        <v>33</v>
      </c>
      <c r="B31" s="5">
        <v>75</v>
      </c>
      <c r="C31" t="str">
        <f>IF(OR(Day6Data[[#This Row],[Transaction_Amount]]&lt;$B$50,Day6Data[[#This Row],[Transaction_Amount]]&gt;$B$51),"Outlier","Normal")</f>
        <v>Normal</v>
      </c>
    </row>
    <row r="32" spans="1:3" x14ac:dyDescent="0.3">
      <c r="A32" t="s">
        <v>34</v>
      </c>
      <c r="B32" s="5">
        <v>76</v>
      </c>
      <c r="C32" t="str">
        <f>IF(OR(Day6Data[[#This Row],[Transaction_Amount]]&lt;$B$50,Day6Data[[#This Row],[Transaction_Amount]]&gt;$B$51),"Outlier","Normal")</f>
        <v>Normal</v>
      </c>
    </row>
    <row r="33" spans="1:3" x14ac:dyDescent="0.3">
      <c r="A33" t="s">
        <v>35</v>
      </c>
      <c r="B33" s="5">
        <v>77</v>
      </c>
      <c r="C33" t="str">
        <f>IF(OR(Day6Data[[#This Row],[Transaction_Amount]]&lt;$B$50,Day6Data[[#This Row],[Transaction_Amount]]&gt;$B$51),"Outlier","Normal")</f>
        <v>Normal</v>
      </c>
    </row>
    <row r="34" spans="1:3" x14ac:dyDescent="0.3">
      <c r="A34" t="s">
        <v>36</v>
      </c>
      <c r="B34" s="5">
        <v>79</v>
      </c>
      <c r="C34" t="str">
        <f>IF(OR(Day6Data[[#This Row],[Transaction_Amount]]&lt;$B$50,Day6Data[[#This Row],[Transaction_Amount]]&gt;$B$51),"Outlier","Normal")</f>
        <v>Normal</v>
      </c>
    </row>
    <row r="35" spans="1:3" x14ac:dyDescent="0.3">
      <c r="A35" t="s">
        <v>37</v>
      </c>
      <c r="B35" s="5">
        <v>81</v>
      </c>
      <c r="C35" t="str">
        <f>IF(OR(Day6Data[[#This Row],[Transaction_Amount]]&lt;$B$50,Day6Data[[#This Row],[Transaction_Amount]]&gt;$B$51),"Outlier","Normal")</f>
        <v>Normal</v>
      </c>
    </row>
    <row r="36" spans="1:3" x14ac:dyDescent="0.3">
      <c r="A36" t="s">
        <v>38</v>
      </c>
      <c r="B36" s="5">
        <v>83</v>
      </c>
      <c r="C36" t="str">
        <f>IF(OR(Day6Data[[#This Row],[Transaction_Amount]]&lt;$B$50,Day6Data[[#This Row],[Transaction_Amount]]&gt;$B$51),"Outlier","Normal")</f>
        <v>Normal</v>
      </c>
    </row>
    <row r="37" spans="1:3" x14ac:dyDescent="0.3">
      <c r="A37" t="s">
        <v>39</v>
      </c>
      <c r="B37" s="5">
        <v>85</v>
      </c>
      <c r="C37" t="str">
        <f>IF(OR(Day6Data[[#This Row],[Transaction_Amount]]&lt;$B$50,Day6Data[[#This Row],[Transaction_Amount]]&gt;$B$51),"Outlier","Normal")</f>
        <v>Normal</v>
      </c>
    </row>
    <row r="38" spans="1:3" x14ac:dyDescent="0.3">
      <c r="A38" t="s">
        <v>40</v>
      </c>
      <c r="B38" s="5">
        <v>88</v>
      </c>
      <c r="C38" t="str">
        <f>IF(OR(Day6Data[[#This Row],[Transaction_Amount]]&lt;$B$50,Day6Data[[#This Row],[Transaction_Amount]]&gt;$B$51),"Outlier","Normal")</f>
        <v>Normal</v>
      </c>
    </row>
    <row r="39" spans="1:3" x14ac:dyDescent="0.3">
      <c r="A39" t="s">
        <v>41</v>
      </c>
      <c r="B39" s="5">
        <v>90</v>
      </c>
      <c r="C39" t="str">
        <f>IF(OR(Day6Data[[#This Row],[Transaction_Amount]]&lt;$B$50,Day6Data[[#This Row],[Transaction_Amount]]&gt;$B$51),"Outlier","Normal")</f>
        <v>Normal</v>
      </c>
    </row>
    <row r="40" spans="1:3" x14ac:dyDescent="0.3">
      <c r="A40" t="s">
        <v>42</v>
      </c>
      <c r="B40" s="5">
        <v>92</v>
      </c>
      <c r="C40" t="str">
        <f>IF(OR(Day6Data[[#This Row],[Transaction_Amount]]&lt;$B$50,Day6Data[[#This Row],[Transaction_Amount]]&gt;$B$51),"Outlier","Normal")</f>
        <v>Normal</v>
      </c>
    </row>
    <row r="41" spans="1:3" x14ac:dyDescent="0.3">
      <c r="A41" t="s">
        <v>43</v>
      </c>
      <c r="B41" s="5">
        <v>95</v>
      </c>
      <c r="C41" t="str">
        <f>IF(OR(Day6Data[[#This Row],[Transaction_Amount]]&lt;$B$50,Day6Data[[#This Row],[Transaction_Amount]]&gt;$B$51),"Outlier","Normal")</f>
        <v>Normal</v>
      </c>
    </row>
    <row r="42" spans="1:3" x14ac:dyDescent="0.3">
      <c r="A42" t="s">
        <v>44</v>
      </c>
      <c r="B42" s="5">
        <v>150</v>
      </c>
      <c r="C42" t="str">
        <f>IF(OR(Day6Data[[#This Row],[Transaction_Amount]]&lt;$B$50,Day6Data[[#This Row],[Transaction_Amount]]&gt;$B$51),"Outlier","Normal")</f>
        <v>Outlier</v>
      </c>
    </row>
    <row r="43" spans="1:3" x14ac:dyDescent="0.3">
      <c r="A43" t="s">
        <v>45</v>
      </c>
      <c r="B43" s="5">
        <v>165</v>
      </c>
      <c r="C43" t="str">
        <f>IF(OR(Day6Data[[#This Row],[Transaction_Amount]]&lt;$B$50,Day6Data[[#This Row],[Transaction_Amount]]&gt;$B$51),"Outlier","Normal")</f>
        <v>Outlier</v>
      </c>
    </row>
    <row r="44" spans="1:3" x14ac:dyDescent="0.3">
      <c r="A44" t="s">
        <v>46</v>
      </c>
      <c r="B44" s="5">
        <v>12</v>
      </c>
      <c r="C44" t="str">
        <f>IF(OR(Day6Data[[#This Row],[Transaction_Amount]]&lt;$B$50,Day6Data[[#This Row],[Transaction_Amount]]&gt;$B$51),"Outlier","Normal")</f>
        <v>Outlier</v>
      </c>
    </row>
    <row r="45" spans="1:3" x14ac:dyDescent="0.3">
      <c r="A45" t="s">
        <v>47</v>
      </c>
      <c r="B45" s="5">
        <v>9</v>
      </c>
      <c r="C45" t="str">
        <f>IF(OR(Day6Data[[#This Row],[Transaction_Amount]]&lt;$B$50,Day6Data[[#This Row],[Transaction_Amount]]&gt;$B$51),"Outlier","Normal")</f>
        <v>Outlier</v>
      </c>
    </row>
    <row r="47" spans="1:3" x14ac:dyDescent="0.3">
      <c r="A47" t="s">
        <v>48</v>
      </c>
      <c r="B47">
        <f>_xlfn.QUARTILE.INC(Day6Data[Transaction_Amount],1)</f>
        <v>53.75</v>
      </c>
    </row>
    <row r="48" spans="1:3" x14ac:dyDescent="0.3">
      <c r="A48" t="s">
        <v>49</v>
      </c>
      <c r="B48">
        <f>_xlfn.QUARTILE.INC(Day6Data[Transaction_Amount],3)</f>
        <v>77.5</v>
      </c>
    </row>
    <row r="49" spans="1:2" x14ac:dyDescent="0.3">
      <c r="A49" t="s">
        <v>50</v>
      </c>
      <c r="B49">
        <f>B48-B47</f>
        <v>23.75</v>
      </c>
    </row>
    <row r="50" spans="1:2" x14ac:dyDescent="0.3">
      <c r="A50" t="s">
        <v>51</v>
      </c>
      <c r="B50">
        <f>B47-1.5*(B49)</f>
        <v>18.125</v>
      </c>
    </row>
    <row r="51" spans="1:2" x14ac:dyDescent="0.3">
      <c r="A51" t="s">
        <v>52</v>
      </c>
      <c r="B51">
        <f>B48+1.5*(B49)</f>
        <v>113.125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2026-05-03T14:53:33Z</dcterms:created>
  <dcterms:modified xsi:type="dcterms:W3CDTF">2026-05-03T14:53:52Z</dcterms:modified>
</cp:coreProperties>
</file>