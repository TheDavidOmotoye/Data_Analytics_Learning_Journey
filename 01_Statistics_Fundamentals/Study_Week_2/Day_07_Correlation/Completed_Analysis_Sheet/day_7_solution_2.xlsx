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d31ac04eec9a4d31/Documents/"/>
    </mc:Choice>
  </mc:AlternateContent>
  <xr:revisionPtr revIDLastSave="0" documentId="8_{BA5F0F68-1FE7-4C7D-BAC6-708812DA3848}" xr6:coauthVersionLast="47" xr6:coauthVersionMax="47" xr10:uidLastSave="{00000000-0000-0000-0000-000000000000}"/>
  <bookViews>
    <workbookView xWindow="-108" yWindow="-108" windowWidth="23256" windowHeight="12456" xr2:uid="{060FF775-C05C-47E4-97CD-62DF70A152CF}"/>
  </bookViews>
  <sheets>
    <sheet name="Day7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6" i="1" l="1"/>
  <c r="B26" i="1"/>
</calcChain>
</file>

<file path=xl/sharedStrings.xml><?xml version="1.0" encoding="utf-8"?>
<sst xmlns="http://schemas.openxmlformats.org/spreadsheetml/2006/main" count="8" uniqueCount="8">
  <si>
    <t>Day 7 Dataset: Correlation</t>
  </si>
  <si>
    <t>Objective</t>
  </si>
  <si>
    <t>Measure the relationship between advertising spend and leads generated.</t>
  </si>
  <si>
    <t>Suggested practice</t>
  </si>
  <si>
    <t>Use CORREL to measure the relationship. Create a scatter plot and describe the trend.</t>
  </si>
  <si>
    <t>Week</t>
  </si>
  <si>
    <t>Ad_Spend_USD (x)</t>
  </si>
  <si>
    <t>Leads_Generated (y)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</si>
</sst>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\$#,##0"/>
    <numFmt numFmtId="165" formatCode="0.000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6"/>
      <color rgb="FF1F1F1F"/>
      <name val="Calibri"/>
    </font>
    <font>
      <b/>
      <sz val="11"/>
      <name val="Calibri"/>
    </font>
    <font>
      <b/>
      <sz val="11"/>
      <color rgb="FFFFFFFF"/>
      <name val="Calibri"/>
    </font>
    <font>
      <b/>
      <sz val="11"/>
      <color rgb="FFFFFFFF"/>
      <name val="Calibri"/>
      <family val="2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F3F3F3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2" borderId="0" xfId="0" applyFont="1" applyFill="1"/>
    <xf numFmtId="0" fontId="0" fillId="3" borderId="0" xfId="0" applyFill="1" applyAlignment="1">
      <alignment wrapText="1"/>
    </xf>
    <xf numFmtId="0" fontId="4" fillId="4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164" fontId="0" fillId="0" borderId="0" xfId="0" applyNumberFormat="1"/>
    <xf numFmtId="165" fontId="0" fillId="0" borderId="0" xfId="0" applyNumberFormat="1"/>
    <xf numFmtId="0" fontId="6" fillId="0" borderId="0" xfId="0" applyFont="1"/>
    <xf numFmtId="43" fontId="0" fillId="0" borderId="0" xfId="1" applyFont="1"/>
    <xf numFmtId="43" fontId="0" fillId="0" borderId="0" xfId="0" applyNumberFormat="1"/>
  </cellXfs>
  <cellStyles count="2">
    <cellStyle name="Comma" xfId="1" builtinId="3"/>
    <cellStyle name="Normal" xfId="0" builtinId="0"/>
  </cellStyles>
  <dxfs count="2">
    <dxf>
      <numFmt numFmtId="164" formatCode="\$#,##0"/>
    </dxf>
    <dxf>
      <numFmt numFmtId="164" formatCode="\$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Advertising</a:t>
            </a:r>
            <a:r>
              <a:rPr lang="en-US" baseline="0"/>
              <a:t> Spend vs Leads Generated</a:t>
            </a:r>
            <a:endParaRPr lang="en-NG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NG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-0.31631430446194225"/>
                  <c:y val="0.20791666666666667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NG"/>
                </a:p>
              </c:txPr>
            </c:trendlineLbl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xVal>
            <c:numRef>
              <c:f>'Day7'!$B$6:$B$25</c:f>
              <c:numCache>
                <c:formatCode>\$#,##0</c:formatCode>
                <c:ptCount val="20"/>
                <c:pt idx="0">
                  <c:v>400</c:v>
                </c:pt>
                <c:pt idx="1">
                  <c:v>450</c:v>
                </c:pt>
                <c:pt idx="2">
                  <c:v>480</c:v>
                </c:pt>
                <c:pt idx="3">
                  <c:v>500</c:v>
                </c:pt>
                <c:pt idx="4">
                  <c:v>520</c:v>
                </c:pt>
                <c:pt idx="5">
                  <c:v>560</c:v>
                </c:pt>
                <c:pt idx="6">
                  <c:v>600</c:v>
                </c:pt>
                <c:pt idx="7">
                  <c:v>620</c:v>
                </c:pt>
                <c:pt idx="8">
                  <c:v>650</c:v>
                </c:pt>
                <c:pt idx="9">
                  <c:v>680</c:v>
                </c:pt>
                <c:pt idx="10">
                  <c:v>700</c:v>
                </c:pt>
                <c:pt idx="11">
                  <c:v>740</c:v>
                </c:pt>
                <c:pt idx="12">
                  <c:v>780</c:v>
                </c:pt>
                <c:pt idx="13">
                  <c:v>800</c:v>
                </c:pt>
                <c:pt idx="14">
                  <c:v>850</c:v>
                </c:pt>
                <c:pt idx="15">
                  <c:v>900</c:v>
                </c:pt>
                <c:pt idx="16">
                  <c:v>940</c:v>
                </c:pt>
                <c:pt idx="17">
                  <c:v>980</c:v>
                </c:pt>
                <c:pt idx="18">
                  <c:v>1020</c:v>
                </c:pt>
                <c:pt idx="19">
                  <c:v>1080</c:v>
                </c:pt>
              </c:numCache>
            </c:numRef>
          </c:xVal>
          <c:yVal>
            <c:numRef>
              <c:f>'Day7'!$C$6:$C$25</c:f>
              <c:numCache>
                <c:formatCode>General</c:formatCode>
                <c:ptCount val="20"/>
                <c:pt idx="0">
                  <c:v>135</c:v>
                </c:pt>
                <c:pt idx="1">
                  <c:v>151</c:v>
                </c:pt>
                <c:pt idx="2">
                  <c:v>152</c:v>
                </c:pt>
                <c:pt idx="3">
                  <c:v>165</c:v>
                </c:pt>
                <c:pt idx="4">
                  <c:v>160</c:v>
                </c:pt>
                <c:pt idx="5">
                  <c:v>177</c:v>
                </c:pt>
                <c:pt idx="6">
                  <c:v>198</c:v>
                </c:pt>
                <c:pt idx="7">
                  <c:v>192</c:v>
                </c:pt>
                <c:pt idx="8">
                  <c:v>214</c:v>
                </c:pt>
                <c:pt idx="9">
                  <c:v>220</c:v>
                </c:pt>
                <c:pt idx="10">
                  <c:v>233</c:v>
                </c:pt>
                <c:pt idx="11">
                  <c:v>241</c:v>
                </c:pt>
                <c:pt idx="12">
                  <c:v>258</c:v>
                </c:pt>
                <c:pt idx="13">
                  <c:v>274</c:v>
                </c:pt>
                <c:pt idx="14">
                  <c:v>291</c:v>
                </c:pt>
                <c:pt idx="15">
                  <c:v>302</c:v>
                </c:pt>
                <c:pt idx="16">
                  <c:v>319</c:v>
                </c:pt>
                <c:pt idx="17">
                  <c:v>333</c:v>
                </c:pt>
                <c:pt idx="18">
                  <c:v>339</c:v>
                </c:pt>
                <c:pt idx="19">
                  <c:v>348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50E-4067-B212-0965527B1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93117343"/>
        <c:axId val="1893118303"/>
      </c:scatterChart>
      <c:valAx>
        <c:axId val="189311734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NG"/>
                  <a:t>A</a:t>
                </a:r>
                <a:r>
                  <a:rPr lang="en-US"/>
                  <a:t>dvertising</a:t>
                </a:r>
                <a:r>
                  <a:rPr lang="en-US" baseline="0"/>
                  <a:t> Spend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\$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93118303"/>
        <c:crosses val="autoZero"/>
        <c:crossBetween val="midCat"/>
      </c:valAx>
      <c:valAx>
        <c:axId val="18931183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Leads</a:t>
                </a:r>
                <a:r>
                  <a:rPr lang="en-US" baseline="0"/>
                  <a:t> Generated</a:t>
                </a:r>
                <a:endParaRPr lang="en-NG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NG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G"/>
          </a:p>
        </c:txPr>
        <c:crossAx val="18931173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G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274320</xdr:colOff>
      <xdr:row>9</xdr:row>
      <xdr:rowOff>72390</xdr:rowOff>
    </xdr:from>
    <xdr:to>
      <xdr:col>11</xdr:col>
      <xdr:colOff>579120</xdr:colOff>
      <xdr:row>24</xdr:row>
      <xdr:rowOff>72390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66F888-2D52-45E9-B63D-6728A6F1D7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david\Downloads\statistical_practice_datasets.xlsx" TargetMode="External"/><Relationship Id="rId1" Type="http://schemas.openxmlformats.org/officeDocument/2006/relationships/externalLinkPath" Target="file:///C:\Users\david\Downloads\statistical_practice_dataset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Day1"/>
      <sheetName val="Day2"/>
      <sheetName val="Day3"/>
      <sheetName val="Day4"/>
      <sheetName val="Day5"/>
      <sheetName val="Day6"/>
      <sheetName val="Day7 (2)"/>
      <sheetName val="Day7"/>
      <sheetName val="Day8"/>
      <sheetName val="Day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">
          <cell r="B6">
            <v>400</v>
          </cell>
          <cell r="C6">
            <v>135</v>
          </cell>
        </row>
        <row r="7">
          <cell r="B7">
            <v>450</v>
          </cell>
          <cell r="C7">
            <v>151</v>
          </cell>
        </row>
        <row r="8">
          <cell r="B8">
            <v>480</v>
          </cell>
          <cell r="C8">
            <v>152</v>
          </cell>
        </row>
        <row r="9">
          <cell r="B9">
            <v>500</v>
          </cell>
          <cell r="C9">
            <v>165</v>
          </cell>
        </row>
        <row r="10">
          <cell r="B10">
            <v>520</v>
          </cell>
          <cell r="C10">
            <v>160</v>
          </cell>
        </row>
        <row r="11">
          <cell r="B11">
            <v>560</v>
          </cell>
          <cell r="C11">
            <v>177</v>
          </cell>
        </row>
        <row r="12">
          <cell r="B12">
            <v>600</v>
          </cell>
          <cell r="C12">
            <v>198</v>
          </cell>
        </row>
        <row r="13">
          <cell r="B13">
            <v>620</v>
          </cell>
          <cell r="C13">
            <v>192</v>
          </cell>
        </row>
        <row r="14">
          <cell r="B14">
            <v>650</v>
          </cell>
          <cell r="C14">
            <v>214</v>
          </cell>
        </row>
        <row r="15">
          <cell r="B15">
            <v>680</v>
          </cell>
          <cell r="C15">
            <v>220</v>
          </cell>
        </row>
        <row r="16">
          <cell r="B16">
            <v>700</v>
          </cell>
          <cell r="C16">
            <v>233</v>
          </cell>
        </row>
        <row r="17">
          <cell r="B17">
            <v>740</v>
          </cell>
          <cell r="C17">
            <v>241</v>
          </cell>
        </row>
        <row r="18">
          <cell r="B18">
            <v>780</v>
          </cell>
          <cell r="C18">
            <v>258</v>
          </cell>
        </row>
        <row r="19">
          <cell r="B19">
            <v>800</v>
          </cell>
          <cell r="C19">
            <v>274</v>
          </cell>
        </row>
        <row r="20">
          <cell r="B20">
            <v>850</v>
          </cell>
          <cell r="C20">
            <v>291</v>
          </cell>
        </row>
        <row r="21">
          <cell r="B21">
            <v>900</v>
          </cell>
          <cell r="C21">
            <v>302</v>
          </cell>
        </row>
        <row r="22">
          <cell r="B22">
            <v>940</v>
          </cell>
          <cell r="C22">
            <v>319</v>
          </cell>
        </row>
        <row r="23">
          <cell r="B23">
            <v>980</v>
          </cell>
          <cell r="C23">
            <v>333</v>
          </cell>
        </row>
        <row r="24">
          <cell r="B24">
            <v>1020</v>
          </cell>
          <cell r="C24">
            <v>339</v>
          </cell>
        </row>
        <row r="25">
          <cell r="B25">
            <v>1080</v>
          </cell>
          <cell r="C25">
            <v>348</v>
          </cell>
        </row>
      </sheetData>
      <sheetData sheetId="9"/>
      <sheetData sheetId="10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9CBB54-F7B4-45A4-891A-D4957C7B145E}" name="Day7Data" displayName="Day7Data" ref="A5:C26" totalsRowCount="1">
  <autoFilter ref="A5:C25" xr:uid="{00000000-0009-0000-0100-000007000000}"/>
  <tableColumns count="3">
    <tableColumn id="1" xr3:uid="{4C9A8302-0C83-47EF-8CBD-EDB2352D975F}" name="Week"/>
    <tableColumn id="2" xr3:uid="{838E5E49-2AFB-4F23-8514-4D6EA2D2B305}" name="Ad_Spend_USD (x)" totalsRowFunction="sum" totalsRowDxfId="1"/>
    <tableColumn id="3" xr3:uid="{689F789A-8E30-4A84-AE3F-B71A565A8DAC}" name="Leads_Generated (y)" totalsRowFunction="sum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62856-7040-46D7-9711-6D41D2BE7528}">
  <dimension ref="A1:C38"/>
  <sheetViews>
    <sheetView tabSelected="1" workbookViewId="0">
      <pane ySplit="4" topLeftCell="A19" activePane="bottomLeft" state="frozen"/>
      <selection pane="bottomLeft" activeCell="B31" sqref="B31"/>
    </sheetView>
  </sheetViews>
  <sheetFormatPr defaultRowHeight="14.4" x14ac:dyDescent="0.3"/>
  <cols>
    <col min="1" max="1" width="18" customWidth="1"/>
    <col min="2" max="2" width="32" customWidth="1"/>
    <col min="3" max="3" width="23" bestFit="1" customWidth="1"/>
  </cols>
  <sheetData>
    <row r="1" spans="1:3" ht="19.95" customHeight="1" x14ac:dyDescent="0.4">
      <c r="A1" s="1" t="s">
        <v>0</v>
      </c>
    </row>
    <row r="2" spans="1:3" ht="43.2" x14ac:dyDescent="0.3">
      <c r="A2" s="2" t="s">
        <v>1</v>
      </c>
      <c r="B2" s="3" t="s">
        <v>2</v>
      </c>
    </row>
    <row r="3" spans="1:3" ht="43.2" x14ac:dyDescent="0.3">
      <c r="A3" s="2" t="s">
        <v>3</v>
      </c>
      <c r="B3" s="3" t="s">
        <v>4</v>
      </c>
    </row>
    <row r="4" spans="1:3" ht="19.95" customHeight="1" x14ac:dyDescent="0.3"/>
    <row r="5" spans="1:3" x14ac:dyDescent="0.3">
      <c r="A5" s="4" t="s">
        <v>5</v>
      </c>
      <c r="B5" s="5" t="s">
        <v>6</v>
      </c>
      <c r="C5" s="5" t="s">
        <v>7</v>
      </c>
    </row>
    <row r="6" spans="1:3" x14ac:dyDescent="0.3">
      <c r="A6">
        <v>1</v>
      </c>
      <c r="B6" s="6">
        <v>400</v>
      </c>
      <c r="C6">
        <v>135</v>
      </c>
    </row>
    <row r="7" spans="1:3" x14ac:dyDescent="0.3">
      <c r="A7">
        <v>2</v>
      </c>
      <c r="B7" s="6">
        <v>450</v>
      </c>
      <c r="C7">
        <v>151</v>
      </c>
    </row>
    <row r="8" spans="1:3" x14ac:dyDescent="0.3">
      <c r="A8">
        <v>3</v>
      </c>
      <c r="B8" s="6">
        <v>480</v>
      </c>
      <c r="C8">
        <v>152</v>
      </c>
    </row>
    <row r="9" spans="1:3" x14ac:dyDescent="0.3">
      <c r="A9">
        <v>4</v>
      </c>
      <c r="B9" s="6">
        <v>500</v>
      </c>
      <c r="C9">
        <v>165</v>
      </c>
    </row>
    <row r="10" spans="1:3" x14ac:dyDescent="0.3">
      <c r="A10">
        <v>5</v>
      </c>
      <c r="B10" s="6">
        <v>520</v>
      </c>
      <c r="C10">
        <v>160</v>
      </c>
    </row>
    <row r="11" spans="1:3" x14ac:dyDescent="0.3">
      <c r="A11">
        <v>6</v>
      </c>
      <c r="B11" s="6">
        <v>560</v>
      </c>
      <c r="C11">
        <v>177</v>
      </c>
    </row>
    <row r="12" spans="1:3" x14ac:dyDescent="0.3">
      <c r="A12">
        <v>7</v>
      </c>
      <c r="B12" s="6">
        <v>600</v>
      </c>
      <c r="C12">
        <v>198</v>
      </c>
    </row>
    <row r="13" spans="1:3" x14ac:dyDescent="0.3">
      <c r="A13">
        <v>8</v>
      </c>
      <c r="B13" s="6">
        <v>620</v>
      </c>
      <c r="C13">
        <v>192</v>
      </c>
    </row>
    <row r="14" spans="1:3" x14ac:dyDescent="0.3">
      <c r="A14">
        <v>9</v>
      </c>
      <c r="B14" s="6">
        <v>650</v>
      </c>
      <c r="C14">
        <v>214</v>
      </c>
    </row>
    <row r="15" spans="1:3" x14ac:dyDescent="0.3">
      <c r="A15">
        <v>10</v>
      </c>
      <c r="B15" s="6">
        <v>680</v>
      </c>
      <c r="C15">
        <v>220</v>
      </c>
    </row>
    <row r="16" spans="1:3" x14ac:dyDescent="0.3">
      <c r="A16">
        <v>11</v>
      </c>
      <c r="B16" s="6">
        <v>700</v>
      </c>
      <c r="C16">
        <v>233</v>
      </c>
    </row>
    <row r="17" spans="1:3" x14ac:dyDescent="0.3">
      <c r="A17">
        <v>12</v>
      </c>
      <c r="B17" s="6">
        <v>740</v>
      </c>
      <c r="C17">
        <v>241</v>
      </c>
    </row>
    <row r="18" spans="1:3" x14ac:dyDescent="0.3">
      <c r="A18">
        <v>13</v>
      </c>
      <c r="B18" s="6">
        <v>780</v>
      </c>
      <c r="C18">
        <v>258</v>
      </c>
    </row>
    <row r="19" spans="1:3" x14ac:dyDescent="0.3">
      <c r="A19">
        <v>14</v>
      </c>
      <c r="B19" s="6">
        <v>800</v>
      </c>
      <c r="C19">
        <v>274</v>
      </c>
    </row>
    <row r="20" spans="1:3" x14ac:dyDescent="0.3">
      <c r="A20">
        <v>15</v>
      </c>
      <c r="B20" s="6">
        <v>850</v>
      </c>
      <c r="C20">
        <v>291</v>
      </c>
    </row>
    <row r="21" spans="1:3" x14ac:dyDescent="0.3">
      <c r="A21">
        <v>16</v>
      </c>
      <c r="B21" s="6">
        <v>900</v>
      </c>
      <c r="C21">
        <v>302</v>
      </c>
    </row>
    <row r="22" spans="1:3" x14ac:dyDescent="0.3">
      <c r="A22">
        <v>17</v>
      </c>
      <c r="B22" s="6">
        <v>940</v>
      </c>
      <c r="C22">
        <v>319</v>
      </c>
    </row>
    <row r="23" spans="1:3" x14ac:dyDescent="0.3">
      <c r="A23">
        <v>18</v>
      </c>
      <c r="B23" s="6">
        <v>980</v>
      </c>
      <c r="C23">
        <v>333</v>
      </c>
    </row>
    <row r="24" spans="1:3" x14ac:dyDescent="0.3">
      <c r="A24">
        <v>19</v>
      </c>
      <c r="B24" s="6">
        <v>1020</v>
      </c>
      <c r="C24">
        <v>339</v>
      </c>
    </row>
    <row r="25" spans="1:3" x14ac:dyDescent="0.3">
      <c r="A25">
        <v>20</v>
      </c>
      <c r="B25" s="6">
        <v>1080</v>
      </c>
      <c r="C25">
        <v>348</v>
      </c>
    </row>
    <row r="26" spans="1:3" x14ac:dyDescent="0.3">
      <c r="B26" s="6">
        <f>SUBTOTAL(109,Day7Data[Ad_Spend_USD (x)])</f>
        <v>14250</v>
      </c>
      <c r="C26" s="6">
        <f>SUBTOTAL(109,Day7Data[Leads_Generated (y)])</f>
        <v>4702</v>
      </c>
    </row>
    <row r="27" spans="1:3" x14ac:dyDescent="0.3">
      <c r="B27" s="6"/>
    </row>
    <row r="33" spans="1:2" x14ac:dyDescent="0.3">
      <c r="B33" s="7"/>
    </row>
    <row r="35" spans="1:2" x14ac:dyDescent="0.3">
      <c r="A35" s="8"/>
      <c r="B35" s="6"/>
    </row>
    <row r="36" spans="1:2" x14ac:dyDescent="0.3">
      <c r="A36" s="8"/>
    </row>
    <row r="37" spans="1:2" x14ac:dyDescent="0.3">
      <c r="A37" s="8"/>
      <c r="B37" s="9"/>
    </row>
    <row r="38" spans="1:2" x14ac:dyDescent="0.3">
      <c r="A38" s="8"/>
      <c r="B38" s="10"/>
    </row>
  </sheetData>
  <pageMargins left="0.75" right="0.75" top="1" bottom="1" header="0.5" footer="0.5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 Omotoye</dc:creator>
  <cp:lastModifiedBy>David Omotoye</cp:lastModifiedBy>
  <dcterms:created xsi:type="dcterms:W3CDTF">2026-05-03T14:57:10Z</dcterms:created>
  <dcterms:modified xsi:type="dcterms:W3CDTF">2026-05-03T14:57:32Z</dcterms:modified>
</cp:coreProperties>
</file>