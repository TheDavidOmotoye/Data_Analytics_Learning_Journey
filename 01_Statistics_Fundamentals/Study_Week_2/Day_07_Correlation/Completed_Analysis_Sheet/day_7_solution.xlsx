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9" documentId="8_{6E0EC4C8-9404-4B66-B8F6-544480D855E7}" xr6:coauthVersionLast="47" xr6:coauthVersionMax="47" xr10:uidLastSave="{410C9781-D454-44BB-B3A5-85B18B19C460}"/>
  <bookViews>
    <workbookView minimized="1" xWindow="6024" yWindow="3708" windowWidth="17280" windowHeight="8880" xr2:uid="{B2F06829-3712-40D5-8932-7C82E963CE48}"/>
  </bookViews>
  <sheets>
    <sheet name="Day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26" i="1"/>
  <c r="C35" i="1"/>
  <c r="F23" i="1" s="1"/>
  <c r="G23" i="1" s="1"/>
  <c r="B35" i="1"/>
  <c r="C25" i="1" s="1"/>
  <c r="D25" i="1" s="1"/>
  <c r="B34" i="1"/>
  <c r="C30" i="1"/>
  <c r="B30" i="1"/>
  <c r="C29" i="1"/>
  <c r="B29" i="1"/>
  <c r="E26" i="1"/>
  <c r="F25" i="1"/>
  <c r="G25" i="1" s="1"/>
  <c r="F24" i="1"/>
  <c r="G24" i="1" s="1"/>
  <c r="F22" i="1"/>
  <c r="G22" i="1" s="1"/>
  <c r="F21" i="1"/>
  <c r="G21" i="1" s="1"/>
  <c r="F20" i="1"/>
  <c r="G20" i="1" s="1"/>
  <c r="F18" i="1"/>
  <c r="G18" i="1" s="1"/>
  <c r="F17" i="1"/>
  <c r="G17" i="1" s="1"/>
  <c r="F16" i="1"/>
  <c r="G16" i="1" s="1"/>
  <c r="F14" i="1"/>
  <c r="G14" i="1" s="1"/>
  <c r="F13" i="1"/>
  <c r="G13" i="1" s="1"/>
  <c r="F12" i="1"/>
  <c r="G12" i="1" s="1"/>
  <c r="F10" i="1"/>
  <c r="G10" i="1" s="1"/>
  <c r="F9" i="1"/>
  <c r="G9" i="1" s="1"/>
  <c r="F8" i="1"/>
  <c r="G8" i="1" s="1"/>
  <c r="F6" i="1"/>
  <c r="H6" i="1" l="1"/>
  <c r="F7" i="1"/>
  <c r="G7" i="1" s="1"/>
  <c r="F11" i="1"/>
  <c r="G11" i="1" s="1"/>
  <c r="F15" i="1"/>
  <c r="G15" i="1" s="1"/>
  <c r="F19" i="1"/>
  <c r="G19" i="1" s="1"/>
  <c r="H25" i="1"/>
  <c r="D6" i="1"/>
  <c r="C31" i="1"/>
  <c r="C33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G6" i="1"/>
  <c r="G26" i="1" s="1"/>
  <c r="B31" i="1"/>
  <c r="B32" i="1" s="1"/>
  <c r="F26" i="1" l="1"/>
  <c r="D17" i="1"/>
  <c r="H17" i="1"/>
  <c r="D9" i="1"/>
  <c r="H9" i="1"/>
  <c r="D12" i="1"/>
  <c r="H12" i="1"/>
  <c r="D21" i="1"/>
  <c r="H21" i="1"/>
  <c r="D13" i="1"/>
  <c r="H13" i="1"/>
  <c r="D24" i="1"/>
  <c r="H24" i="1"/>
  <c r="D20" i="1"/>
  <c r="H20" i="1"/>
  <c r="D16" i="1"/>
  <c r="H16" i="1"/>
  <c r="D8" i="1"/>
  <c r="H8" i="1"/>
  <c r="D23" i="1"/>
  <c r="H23" i="1"/>
  <c r="D19" i="1"/>
  <c r="H19" i="1"/>
  <c r="D15" i="1"/>
  <c r="H15" i="1"/>
  <c r="D11" i="1"/>
  <c r="H11" i="1"/>
  <c r="D7" i="1"/>
  <c r="H7" i="1"/>
  <c r="B33" i="1"/>
  <c r="D22" i="1"/>
  <c r="H22" i="1"/>
  <c r="D18" i="1"/>
  <c r="H18" i="1"/>
  <c r="D14" i="1"/>
  <c r="H14" i="1"/>
  <c r="D10" i="1"/>
  <c r="H10" i="1"/>
  <c r="C32" i="1"/>
  <c r="C26" i="1"/>
  <c r="D26" i="1" l="1"/>
  <c r="B36" i="1" s="1"/>
  <c r="B37" i="1" s="1"/>
  <c r="H26" i="1"/>
  <c r="B38" i="1" l="1"/>
</calcChain>
</file>

<file path=xl/sharedStrings.xml><?xml version="1.0" encoding="utf-8"?>
<sst xmlns="http://schemas.openxmlformats.org/spreadsheetml/2006/main" count="24" uniqueCount="24">
  <si>
    <t>Day 7 Dataset: Correlation</t>
  </si>
  <si>
    <t>Objective</t>
  </si>
  <si>
    <t>Measure the relationship between advertising spend and leads generated.</t>
  </si>
  <si>
    <t>Suggested practice</t>
  </si>
  <si>
    <t>Use CORREL to measure the relationship. Create a scatter plot and describe the trend.</t>
  </si>
  <si>
    <t>Week</t>
  </si>
  <si>
    <t>Ad_Spend_USD (x)</t>
  </si>
  <si>
    <r>
      <t>MD (x-</t>
    </r>
    <r>
      <rPr>
        <b/>
        <sz val="11"/>
        <color rgb="FFFFFFFF"/>
        <rFont val="Aptos Narrow"/>
        <family val="2"/>
      </rPr>
      <t>µ</t>
    </r>
    <r>
      <rPr>
        <b/>
        <sz val="11"/>
        <color rgb="FFFFFFFF"/>
        <rFont val="Calibri"/>
        <family val="2"/>
      </rPr>
      <t>)</t>
    </r>
  </si>
  <si>
    <r>
      <t>(x-</t>
    </r>
    <r>
      <rPr>
        <b/>
        <sz val="11"/>
        <color rgb="FFFFFFFF"/>
        <rFont val="Aptos Narrow"/>
        <family val="2"/>
      </rPr>
      <t>µ)²</t>
    </r>
  </si>
  <si>
    <t>Leads_Generated (y)</t>
  </si>
  <si>
    <t>MD (y-ỹ)</t>
  </si>
  <si>
    <r>
      <t>MD (y-ỹ)</t>
    </r>
    <r>
      <rPr>
        <b/>
        <sz val="11"/>
        <color rgb="FFFFFFFF"/>
        <rFont val="Aptos Narrow"/>
        <family val="2"/>
      </rPr>
      <t>²</t>
    </r>
  </si>
  <si>
    <t>Q1</t>
  </si>
  <si>
    <t>Q3</t>
  </si>
  <si>
    <t>IQR</t>
  </si>
  <si>
    <t>LOWER BOUND</t>
  </si>
  <si>
    <t>UPPER BOUND</t>
  </si>
  <si>
    <t>CORRELATION</t>
  </si>
  <si>
    <t>MEAN</t>
  </si>
  <si>
    <t>Σ(x-µ)².Σ(y-ỹ)²</t>
  </si>
  <si>
    <t>√Σ(x-µ)².Σ(y-ỹ)²</t>
  </si>
  <si>
    <t>r</t>
  </si>
  <si>
    <r>
      <t>(x-</t>
    </r>
    <r>
      <rPr>
        <b/>
        <sz val="11"/>
        <color rgb="FFFFFFFF"/>
        <rFont val="Aptos Narrow"/>
        <family val="2"/>
      </rPr>
      <t>µ</t>
    </r>
    <r>
      <rPr>
        <b/>
        <sz val="11"/>
        <color rgb="FFFFFFFF"/>
        <rFont val="Calibri"/>
        <family val="2"/>
      </rPr>
      <t>)(y-</t>
    </r>
    <r>
      <rPr>
        <b/>
        <sz val="11"/>
        <color rgb="FFFFFFFF"/>
        <rFont val="Aptos Narrow"/>
        <family val="2"/>
      </rPr>
      <t>ỹ</t>
    </r>
    <r>
      <rPr>
        <b/>
        <sz val="11"/>
        <color rgb="FFFFFFFF"/>
        <rFont val="Calibri"/>
        <family val="2"/>
      </rPr>
      <t>)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</si>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</sst>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"/>
    <numFmt numFmtId="165" formatCode="0.000"/>
    <numFmt numFmtId="166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1F1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43" fontId="0" fillId="0" borderId="0" xfId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  <dxf>
      <numFmt numFmtId="164" formatCode="\$#,##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\$#,##0"/>
    </dxf>
    <dxf>
      <numFmt numFmtId="164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A0A67-02BC-470E-9324-840B0B1FB4C9}" name="Day7Data" displayName="Day7Data" ref="A5:H26" totalsRowCount="1">
  <autoFilter ref="A5:H25" xr:uid="{00000000-0009-0000-0100-000007000000}"/>
  <tableColumns count="8">
    <tableColumn id="1" xr3:uid="{4F1B1AEA-C7A2-479C-A137-B96168A30115}" name="Week" totalsRowLabel="TOTAL"/>
    <tableColumn id="2" xr3:uid="{55982C3B-7EF1-44AC-9615-751E701D535C}" name="Ad_Spend_USD (x)" totalsRowFunction="sum" totalsRowDxfId="6"/>
    <tableColumn id="4" xr3:uid="{E6AF1D2C-806E-418B-A68B-5F64733DCC19}" name="MD (x-µ)" totalsRowFunction="custom" dataDxfId="11" totalsRowDxfId="5">
      <calculatedColumnFormula>(Day7Data[[#This Row],[Ad_Spend_USD (x)]])-$B$35</calculatedColumnFormula>
      <totalsRowFormula>SUM(C6:C25)</totalsRowFormula>
    </tableColumn>
    <tableColumn id="5" xr3:uid="{E93BD03B-F164-43A5-8AD6-AC3BDA2C4A03}" name="(x-µ)²" totalsRowFunction="sum" dataDxfId="10" totalsRowDxfId="4">
      <calculatedColumnFormula>(Day7Data[[#This Row],[MD (x-µ)]])^2</calculatedColumnFormula>
    </tableColumn>
    <tableColumn id="3" xr3:uid="{6583C699-2AA9-487F-945D-28230DA59303}" name="Leads_Generated (y)" totalsRowFunction="sum" totalsRowDxfId="3"/>
    <tableColumn id="6" xr3:uid="{E2E1B37E-9773-481F-95B3-5FEFF3D6D81E}" name="MD (y-ỹ)" totalsRowFunction="custom" dataDxfId="9" totalsRowDxfId="2">
      <calculatedColumnFormula>(Day7Data[[#This Row],[Leads_Generated (y)]])-$C$35</calculatedColumnFormula>
      <totalsRowFormula>SUM(F6:F25)</totalsRowFormula>
    </tableColumn>
    <tableColumn id="7" xr3:uid="{7F0BDF8E-9CB8-4113-B79B-EC6531441588}" name="MD (y-ỹ)²" totalsRowFunction="sum" dataDxfId="8" totalsRowDxfId="1">
      <calculatedColumnFormula>(Day7Data[[#This Row],[MD (y-ỹ)]])^2</calculatedColumnFormula>
    </tableColumn>
    <tableColumn id="8" xr3:uid="{AEF619A3-12E3-468C-8C33-D30EEACA074C}" name="(x-µ)(y-ỹ)" totalsRowFunction="sum" dataDxfId="7" totalsRowDxfId="0" totalsRowCellStyle="Comma">
      <calculatedColumnFormula>Day7Data[[#This Row],[MD (x-µ)]]*Day7Data[[#This Row],[MD (y-ỹ)]]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5E79-B135-4AAA-9486-33E888BF73AB}">
  <dimension ref="A1:H38"/>
  <sheetViews>
    <sheetView tabSelected="1" workbookViewId="0">
      <pane ySplit="4" topLeftCell="A24" activePane="bottomLeft" state="frozen"/>
      <selection pane="bottomLeft" activeCell="B34" sqref="B34"/>
    </sheetView>
  </sheetViews>
  <sheetFormatPr defaultRowHeight="14.4" x14ac:dyDescent="0.3"/>
  <cols>
    <col min="1" max="1" width="18" customWidth="1"/>
    <col min="2" max="4" width="32" customWidth="1"/>
    <col min="5" max="5" width="23" bestFit="1" customWidth="1"/>
    <col min="6" max="8" width="23" customWidth="1"/>
    <col min="11" max="11" width="14" bestFit="1" customWidth="1"/>
    <col min="12" max="12" width="17.21875" bestFit="1" customWidth="1"/>
    <col min="13" max="13" width="8" bestFit="1" customWidth="1"/>
  </cols>
  <sheetData>
    <row r="1" spans="1:8" ht="19.95" customHeight="1" x14ac:dyDescent="0.4">
      <c r="A1" s="1" t="s">
        <v>0</v>
      </c>
    </row>
    <row r="2" spans="1:8" ht="43.2" x14ac:dyDescent="0.3">
      <c r="A2" s="2" t="s">
        <v>1</v>
      </c>
      <c r="B2" s="3" t="s">
        <v>2</v>
      </c>
      <c r="C2" s="3"/>
      <c r="D2" s="3"/>
    </row>
    <row r="3" spans="1:8" ht="43.2" x14ac:dyDescent="0.3">
      <c r="A3" s="2" t="s">
        <v>3</v>
      </c>
      <c r="B3" s="3" t="s">
        <v>4</v>
      </c>
      <c r="C3" s="3"/>
      <c r="D3" s="3"/>
    </row>
    <row r="4" spans="1:8" ht="19.95" customHeight="1" x14ac:dyDescent="0.3"/>
    <row r="5" spans="1:8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22</v>
      </c>
    </row>
    <row r="6" spans="1:8" x14ac:dyDescent="0.3">
      <c r="A6">
        <v>1</v>
      </c>
      <c r="B6" s="5">
        <v>400</v>
      </c>
      <c r="C6" s="5">
        <f>(Day7Data[[#This Row],[Ad_Spend_USD (x)]])-$B$35</f>
        <v>-312.5</v>
      </c>
      <c r="D6" s="5">
        <f>(Day7Data[[#This Row],[MD (x-µ)]])^2</f>
        <v>97656.25</v>
      </c>
      <c r="E6">
        <v>135</v>
      </c>
      <c r="F6">
        <f>(Day7Data[[#This Row],[Leads_Generated (y)]])-$C$35</f>
        <v>-100.1</v>
      </c>
      <c r="G6">
        <f>(Day7Data[[#This Row],[MD (y-ỹ)]])^2</f>
        <v>10020.009999999998</v>
      </c>
      <c r="H6">
        <f>Day7Data[[#This Row],[MD (x-µ)]]*Day7Data[[#This Row],[MD (y-ỹ)]]</f>
        <v>31281.25</v>
      </c>
    </row>
    <row r="7" spans="1:8" x14ac:dyDescent="0.3">
      <c r="A7">
        <v>2</v>
      </c>
      <c r="B7" s="5">
        <v>450</v>
      </c>
      <c r="C7" s="5">
        <f>(Day7Data[[#This Row],[Ad_Spend_USD (x)]])-$B$35</f>
        <v>-262.5</v>
      </c>
      <c r="D7" s="5">
        <f>(Day7Data[[#This Row],[MD (x-µ)]])^2</f>
        <v>68906.25</v>
      </c>
      <c r="E7">
        <v>151</v>
      </c>
      <c r="F7">
        <f>(Day7Data[[#This Row],[Leads_Generated (y)]])-$C$35</f>
        <v>-84.1</v>
      </c>
      <c r="G7">
        <f>(Day7Data[[#This Row],[MD (y-ỹ)]])^2</f>
        <v>7072.8099999999995</v>
      </c>
      <c r="H7">
        <f>Day7Data[[#This Row],[MD (x-µ)]]*Day7Data[[#This Row],[MD (y-ỹ)]]</f>
        <v>22076.25</v>
      </c>
    </row>
    <row r="8" spans="1:8" x14ac:dyDescent="0.3">
      <c r="A8">
        <v>3</v>
      </c>
      <c r="B8" s="5">
        <v>480</v>
      </c>
      <c r="C8" s="5">
        <f>(Day7Data[[#This Row],[Ad_Spend_USD (x)]])-$B$35</f>
        <v>-232.5</v>
      </c>
      <c r="D8" s="5">
        <f>(Day7Data[[#This Row],[MD (x-µ)]])^2</f>
        <v>54056.25</v>
      </c>
      <c r="E8">
        <v>152</v>
      </c>
      <c r="F8">
        <f>(Day7Data[[#This Row],[Leads_Generated (y)]])-$C$35</f>
        <v>-83.1</v>
      </c>
      <c r="G8">
        <f>(Day7Data[[#This Row],[MD (y-ỹ)]])^2</f>
        <v>6905.6099999999988</v>
      </c>
      <c r="H8">
        <f>Day7Data[[#This Row],[MD (x-µ)]]*Day7Data[[#This Row],[MD (y-ỹ)]]</f>
        <v>19320.75</v>
      </c>
    </row>
    <row r="9" spans="1:8" x14ac:dyDescent="0.3">
      <c r="A9">
        <v>4</v>
      </c>
      <c r="B9" s="5">
        <v>500</v>
      </c>
      <c r="C9" s="5">
        <f>(Day7Data[[#This Row],[Ad_Spend_USD (x)]])-$B$35</f>
        <v>-212.5</v>
      </c>
      <c r="D9" s="5">
        <f>(Day7Data[[#This Row],[MD (x-µ)]])^2</f>
        <v>45156.25</v>
      </c>
      <c r="E9">
        <v>165</v>
      </c>
      <c r="F9">
        <f>(Day7Data[[#This Row],[Leads_Generated (y)]])-$C$35</f>
        <v>-70.099999999999994</v>
      </c>
      <c r="G9">
        <f>(Day7Data[[#This Row],[MD (y-ỹ)]])^2</f>
        <v>4914.0099999999993</v>
      </c>
      <c r="H9">
        <f>Day7Data[[#This Row],[MD (x-µ)]]*Day7Data[[#This Row],[MD (y-ỹ)]]</f>
        <v>14896.249999999998</v>
      </c>
    </row>
    <row r="10" spans="1:8" x14ac:dyDescent="0.3">
      <c r="A10">
        <v>5</v>
      </c>
      <c r="B10" s="5">
        <v>520</v>
      </c>
      <c r="C10" s="5">
        <f>(Day7Data[[#This Row],[Ad_Spend_USD (x)]])-$B$35</f>
        <v>-192.5</v>
      </c>
      <c r="D10" s="5">
        <f>(Day7Data[[#This Row],[MD (x-µ)]])^2</f>
        <v>37056.25</v>
      </c>
      <c r="E10">
        <v>160</v>
      </c>
      <c r="F10">
        <f>(Day7Data[[#This Row],[Leads_Generated (y)]])-$C$35</f>
        <v>-75.099999999999994</v>
      </c>
      <c r="G10">
        <f>(Day7Data[[#This Row],[MD (y-ỹ)]])^2</f>
        <v>5640.0099999999993</v>
      </c>
      <c r="H10">
        <f>Day7Data[[#This Row],[MD (x-µ)]]*Day7Data[[#This Row],[MD (y-ỹ)]]</f>
        <v>14456.749999999998</v>
      </c>
    </row>
    <row r="11" spans="1:8" x14ac:dyDescent="0.3">
      <c r="A11">
        <v>6</v>
      </c>
      <c r="B11" s="5">
        <v>560</v>
      </c>
      <c r="C11" s="5">
        <f>(Day7Data[[#This Row],[Ad_Spend_USD (x)]])-$B$35</f>
        <v>-152.5</v>
      </c>
      <c r="D11" s="5">
        <f>(Day7Data[[#This Row],[MD (x-µ)]])^2</f>
        <v>23256.25</v>
      </c>
      <c r="E11">
        <v>177</v>
      </c>
      <c r="F11">
        <f>(Day7Data[[#This Row],[Leads_Generated (y)]])-$C$35</f>
        <v>-58.099999999999994</v>
      </c>
      <c r="G11">
        <f>(Day7Data[[#This Row],[MD (y-ỹ)]])^2</f>
        <v>3375.6099999999992</v>
      </c>
      <c r="H11">
        <f>Day7Data[[#This Row],[MD (x-µ)]]*Day7Data[[#This Row],[MD (y-ỹ)]]</f>
        <v>8860.25</v>
      </c>
    </row>
    <row r="12" spans="1:8" x14ac:dyDescent="0.3">
      <c r="A12">
        <v>7</v>
      </c>
      <c r="B12" s="5">
        <v>600</v>
      </c>
      <c r="C12" s="5">
        <f>(Day7Data[[#This Row],[Ad_Spend_USD (x)]])-$B$35</f>
        <v>-112.5</v>
      </c>
      <c r="D12" s="5">
        <f>(Day7Data[[#This Row],[MD (x-µ)]])^2</f>
        <v>12656.25</v>
      </c>
      <c r="E12">
        <v>198</v>
      </c>
      <c r="F12">
        <f>(Day7Data[[#This Row],[Leads_Generated (y)]])-$C$35</f>
        <v>-37.099999999999994</v>
      </c>
      <c r="G12">
        <f>(Day7Data[[#This Row],[MD (y-ỹ)]])^2</f>
        <v>1376.4099999999996</v>
      </c>
      <c r="H12">
        <f>Day7Data[[#This Row],[MD (x-µ)]]*Day7Data[[#This Row],[MD (y-ỹ)]]</f>
        <v>4173.7499999999991</v>
      </c>
    </row>
    <row r="13" spans="1:8" x14ac:dyDescent="0.3">
      <c r="A13">
        <v>8</v>
      </c>
      <c r="B13" s="5">
        <v>620</v>
      </c>
      <c r="C13" s="5">
        <f>(Day7Data[[#This Row],[Ad_Spend_USD (x)]])-$B$35</f>
        <v>-92.5</v>
      </c>
      <c r="D13" s="5">
        <f>(Day7Data[[#This Row],[MD (x-µ)]])^2</f>
        <v>8556.25</v>
      </c>
      <c r="E13">
        <v>192</v>
      </c>
      <c r="F13">
        <f>(Day7Data[[#This Row],[Leads_Generated (y)]])-$C$35</f>
        <v>-43.099999999999994</v>
      </c>
      <c r="G13">
        <f>(Day7Data[[#This Row],[MD (y-ỹ)]])^2</f>
        <v>1857.6099999999994</v>
      </c>
      <c r="H13">
        <f>Day7Data[[#This Row],[MD (x-µ)]]*Day7Data[[#This Row],[MD (y-ỹ)]]</f>
        <v>3986.7499999999995</v>
      </c>
    </row>
    <row r="14" spans="1:8" x14ac:dyDescent="0.3">
      <c r="A14">
        <v>9</v>
      </c>
      <c r="B14" s="5">
        <v>650</v>
      </c>
      <c r="C14" s="5">
        <f>(Day7Data[[#This Row],[Ad_Spend_USD (x)]])-$B$35</f>
        <v>-62.5</v>
      </c>
      <c r="D14" s="5">
        <f>(Day7Data[[#This Row],[MD (x-µ)]])^2</f>
        <v>3906.25</v>
      </c>
      <c r="E14">
        <v>214</v>
      </c>
      <c r="F14">
        <f>(Day7Data[[#This Row],[Leads_Generated (y)]])-$C$35</f>
        <v>-21.099999999999994</v>
      </c>
      <c r="G14">
        <f>(Day7Data[[#This Row],[MD (y-ỹ)]])^2</f>
        <v>445.20999999999975</v>
      </c>
      <c r="H14">
        <f>Day7Data[[#This Row],[MD (x-µ)]]*Day7Data[[#This Row],[MD (y-ỹ)]]</f>
        <v>1318.7499999999995</v>
      </c>
    </row>
    <row r="15" spans="1:8" x14ac:dyDescent="0.3">
      <c r="A15">
        <v>10</v>
      </c>
      <c r="B15" s="5">
        <v>680</v>
      </c>
      <c r="C15" s="5">
        <f>(Day7Data[[#This Row],[Ad_Spend_USD (x)]])-$B$35</f>
        <v>-32.5</v>
      </c>
      <c r="D15" s="5">
        <f>(Day7Data[[#This Row],[MD (x-µ)]])^2</f>
        <v>1056.25</v>
      </c>
      <c r="E15">
        <v>220</v>
      </c>
      <c r="F15">
        <f>(Day7Data[[#This Row],[Leads_Generated (y)]])-$C$35</f>
        <v>-15.099999999999994</v>
      </c>
      <c r="G15">
        <f>(Day7Data[[#This Row],[MD (y-ỹ)]])^2</f>
        <v>228.00999999999982</v>
      </c>
      <c r="H15">
        <f>Day7Data[[#This Row],[MD (x-µ)]]*Day7Data[[#This Row],[MD (y-ỹ)]]</f>
        <v>490.74999999999983</v>
      </c>
    </row>
    <row r="16" spans="1:8" x14ac:dyDescent="0.3">
      <c r="A16">
        <v>11</v>
      </c>
      <c r="B16" s="5">
        <v>700</v>
      </c>
      <c r="C16" s="5">
        <f>(Day7Data[[#This Row],[Ad_Spend_USD (x)]])-$B$35</f>
        <v>-12.5</v>
      </c>
      <c r="D16" s="5">
        <f>(Day7Data[[#This Row],[MD (x-µ)]])^2</f>
        <v>156.25</v>
      </c>
      <c r="E16">
        <v>233</v>
      </c>
      <c r="F16">
        <f>(Day7Data[[#This Row],[Leads_Generated (y)]])-$C$35</f>
        <v>-2.0999999999999943</v>
      </c>
      <c r="G16">
        <f>(Day7Data[[#This Row],[MD (y-ỹ)]])^2</f>
        <v>4.4099999999999762</v>
      </c>
      <c r="H16">
        <f>Day7Data[[#This Row],[MD (x-µ)]]*Day7Data[[#This Row],[MD (y-ỹ)]]</f>
        <v>26.249999999999929</v>
      </c>
    </row>
    <row r="17" spans="1:8" x14ac:dyDescent="0.3">
      <c r="A17">
        <v>12</v>
      </c>
      <c r="B17" s="5">
        <v>740</v>
      </c>
      <c r="C17" s="5">
        <f>(Day7Data[[#This Row],[Ad_Spend_USD (x)]])-$B$35</f>
        <v>27.5</v>
      </c>
      <c r="D17" s="5">
        <f>(Day7Data[[#This Row],[MD (x-µ)]])^2</f>
        <v>756.25</v>
      </c>
      <c r="E17">
        <v>241</v>
      </c>
      <c r="F17">
        <f>(Day7Data[[#This Row],[Leads_Generated (y)]])-$C$35</f>
        <v>5.9000000000000057</v>
      </c>
      <c r="G17">
        <f>(Day7Data[[#This Row],[MD (y-ỹ)]])^2</f>
        <v>34.810000000000066</v>
      </c>
      <c r="H17">
        <f>Day7Data[[#This Row],[MD (x-µ)]]*Day7Data[[#This Row],[MD (y-ỹ)]]</f>
        <v>162.25000000000017</v>
      </c>
    </row>
    <row r="18" spans="1:8" x14ac:dyDescent="0.3">
      <c r="A18">
        <v>13</v>
      </c>
      <c r="B18" s="5">
        <v>780</v>
      </c>
      <c r="C18" s="5">
        <f>(Day7Data[[#This Row],[Ad_Spend_USD (x)]])-$B$35</f>
        <v>67.5</v>
      </c>
      <c r="D18" s="5">
        <f>(Day7Data[[#This Row],[MD (x-µ)]])^2</f>
        <v>4556.25</v>
      </c>
      <c r="E18">
        <v>258</v>
      </c>
      <c r="F18">
        <f>(Day7Data[[#This Row],[Leads_Generated (y)]])-$C$35</f>
        <v>22.900000000000006</v>
      </c>
      <c r="G18">
        <f>(Day7Data[[#This Row],[MD (y-ỹ)]])^2</f>
        <v>524.41000000000031</v>
      </c>
      <c r="H18">
        <f>Day7Data[[#This Row],[MD (x-µ)]]*Day7Data[[#This Row],[MD (y-ỹ)]]</f>
        <v>1545.7500000000005</v>
      </c>
    </row>
    <row r="19" spans="1:8" x14ac:dyDescent="0.3">
      <c r="A19">
        <v>14</v>
      </c>
      <c r="B19" s="5">
        <v>800</v>
      </c>
      <c r="C19" s="5">
        <f>(Day7Data[[#This Row],[Ad_Spend_USD (x)]])-$B$35</f>
        <v>87.5</v>
      </c>
      <c r="D19" s="5">
        <f>(Day7Data[[#This Row],[MD (x-µ)]])^2</f>
        <v>7656.25</v>
      </c>
      <c r="E19">
        <v>274</v>
      </c>
      <c r="F19">
        <f>(Day7Data[[#This Row],[Leads_Generated (y)]])-$C$35</f>
        <v>38.900000000000006</v>
      </c>
      <c r="G19">
        <f>(Day7Data[[#This Row],[MD (y-ỹ)]])^2</f>
        <v>1513.2100000000005</v>
      </c>
      <c r="H19">
        <f>Day7Data[[#This Row],[MD (x-µ)]]*Day7Data[[#This Row],[MD (y-ỹ)]]</f>
        <v>3403.7500000000005</v>
      </c>
    </row>
    <row r="20" spans="1:8" x14ac:dyDescent="0.3">
      <c r="A20">
        <v>15</v>
      </c>
      <c r="B20" s="5">
        <v>850</v>
      </c>
      <c r="C20" s="5">
        <f>(Day7Data[[#This Row],[Ad_Spend_USD (x)]])-$B$35</f>
        <v>137.5</v>
      </c>
      <c r="D20" s="5">
        <f>(Day7Data[[#This Row],[MD (x-µ)]])^2</f>
        <v>18906.25</v>
      </c>
      <c r="E20">
        <v>291</v>
      </c>
      <c r="F20">
        <f>(Day7Data[[#This Row],[Leads_Generated (y)]])-$C$35</f>
        <v>55.900000000000006</v>
      </c>
      <c r="G20">
        <f>(Day7Data[[#This Row],[MD (y-ỹ)]])^2</f>
        <v>3124.8100000000009</v>
      </c>
      <c r="H20">
        <f>Day7Data[[#This Row],[MD (x-µ)]]*Day7Data[[#This Row],[MD (y-ỹ)]]</f>
        <v>7686.2500000000009</v>
      </c>
    </row>
    <row r="21" spans="1:8" x14ac:dyDescent="0.3">
      <c r="A21">
        <v>16</v>
      </c>
      <c r="B21" s="5">
        <v>900</v>
      </c>
      <c r="C21" s="5">
        <f>(Day7Data[[#This Row],[Ad_Spend_USD (x)]])-$B$35</f>
        <v>187.5</v>
      </c>
      <c r="D21" s="5">
        <f>(Day7Data[[#This Row],[MD (x-µ)]])^2</f>
        <v>35156.25</v>
      </c>
      <c r="E21">
        <v>302</v>
      </c>
      <c r="F21">
        <f>(Day7Data[[#This Row],[Leads_Generated (y)]])-$C$35</f>
        <v>66.900000000000006</v>
      </c>
      <c r="G21">
        <f>(Day7Data[[#This Row],[MD (y-ỹ)]])^2</f>
        <v>4475.6100000000006</v>
      </c>
      <c r="H21">
        <f>Day7Data[[#This Row],[MD (x-µ)]]*Day7Data[[#This Row],[MD (y-ỹ)]]</f>
        <v>12543.750000000002</v>
      </c>
    </row>
    <row r="22" spans="1:8" x14ac:dyDescent="0.3">
      <c r="A22">
        <v>17</v>
      </c>
      <c r="B22" s="5">
        <v>940</v>
      </c>
      <c r="C22" s="5">
        <f>(Day7Data[[#This Row],[Ad_Spend_USD (x)]])-$B$35</f>
        <v>227.5</v>
      </c>
      <c r="D22" s="5">
        <f>(Day7Data[[#This Row],[MD (x-µ)]])^2</f>
        <v>51756.25</v>
      </c>
      <c r="E22">
        <v>319</v>
      </c>
      <c r="F22">
        <f>(Day7Data[[#This Row],[Leads_Generated (y)]])-$C$35</f>
        <v>83.9</v>
      </c>
      <c r="G22">
        <f>(Day7Data[[#This Row],[MD (y-ỹ)]])^2</f>
        <v>7039.2100000000009</v>
      </c>
      <c r="H22">
        <f>Day7Data[[#This Row],[MD (x-µ)]]*Day7Data[[#This Row],[MD (y-ỹ)]]</f>
        <v>19087.25</v>
      </c>
    </row>
    <row r="23" spans="1:8" x14ac:dyDescent="0.3">
      <c r="A23">
        <v>18</v>
      </c>
      <c r="B23" s="5">
        <v>980</v>
      </c>
      <c r="C23" s="5">
        <f>(Day7Data[[#This Row],[Ad_Spend_USD (x)]])-$B$35</f>
        <v>267.5</v>
      </c>
      <c r="D23" s="5">
        <f>(Day7Data[[#This Row],[MD (x-µ)]])^2</f>
        <v>71556.25</v>
      </c>
      <c r="E23">
        <v>333</v>
      </c>
      <c r="F23">
        <f>(Day7Data[[#This Row],[Leads_Generated (y)]])-$C$35</f>
        <v>97.9</v>
      </c>
      <c r="G23">
        <f>(Day7Data[[#This Row],[MD (y-ỹ)]])^2</f>
        <v>9584.4100000000017</v>
      </c>
      <c r="H23">
        <f>Day7Data[[#This Row],[MD (x-µ)]]*Day7Data[[#This Row],[MD (y-ỹ)]]</f>
        <v>26188.25</v>
      </c>
    </row>
    <row r="24" spans="1:8" x14ac:dyDescent="0.3">
      <c r="A24">
        <v>19</v>
      </c>
      <c r="B24" s="5">
        <v>1020</v>
      </c>
      <c r="C24" s="5">
        <f>(Day7Data[[#This Row],[Ad_Spend_USD (x)]])-$B$35</f>
        <v>307.5</v>
      </c>
      <c r="D24" s="5">
        <f>(Day7Data[[#This Row],[MD (x-µ)]])^2</f>
        <v>94556.25</v>
      </c>
      <c r="E24">
        <v>339</v>
      </c>
      <c r="F24">
        <f>(Day7Data[[#This Row],[Leads_Generated (y)]])-$C$35</f>
        <v>103.9</v>
      </c>
      <c r="G24">
        <f>(Day7Data[[#This Row],[MD (y-ỹ)]])^2</f>
        <v>10795.210000000001</v>
      </c>
      <c r="H24">
        <f>Day7Data[[#This Row],[MD (x-µ)]]*Day7Data[[#This Row],[MD (y-ỹ)]]</f>
        <v>31949.25</v>
      </c>
    </row>
    <row r="25" spans="1:8" x14ac:dyDescent="0.3">
      <c r="A25">
        <v>20</v>
      </c>
      <c r="B25" s="5">
        <v>1080</v>
      </c>
      <c r="C25" s="5">
        <f>(Day7Data[[#This Row],[Ad_Spend_USD (x)]])-$B$35</f>
        <v>367.5</v>
      </c>
      <c r="D25" s="5">
        <f>(Day7Data[[#This Row],[MD (x-µ)]])^2</f>
        <v>135056.25</v>
      </c>
      <c r="E25">
        <v>348</v>
      </c>
      <c r="F25">
        <f>(Day7Data[[#This Row],[Leads_Generated (y)]])-$C$35</f>
        <v>112.9</v>
      </c>
      <c r="G25">
        <f>(Day7Data[[#This Row],[MD (y-ỹ)]])^2</f>
        <v>12746.410000000002</v>
      </c>
      <c r="H25">
        <f>Day7Data[[#This Row],[MD (x-µ)]]*Day7Data[[#This Row],[MD (y-ỹ)]]</f>
        <v>41490.75</v>
      </c>
    </row>
    <row r="26" spans="1:8" x14ac:dyDescent="0.3">
      <c r="A26" t="s">
        <v>23</v>
      </c>
      <c r="B26" s="5">
        <f>SUBTOTAL(109,Day7Data[Ad_Spend_USD (x)])</f>
        <v>14250</v>
      </c>
      <c r="C26" s="5">
        <f>SUM(C6:C25)</f>
        <v>0</v>
      </c>
      <c r="D26" s="5">
        <f>SUBTOTAL(109,Day7Data[(x-µ)²])</f>
        <v>772375</v>
      </c>
      <c r="E26" s="5">
        <f>SUBTOTAL(109,Day7Data[Leads_Generated (y)])</f>
        <v>4702</v>
      </c>
      <c r="F26" s="5">
        <f>SUM(F6:F25)</f>
        <v>-2.5579538487363607E-13</v>
      </c>
      <c r="G26" s="5">
        <f>SUBTOTAL(109,Day7Data[MD (y-ỹ)²])</f>
        <v>91677.8</v>
      </c>
      <c r="H26" s="8">
        <f>SUBTOTAL(109,Day7Data[(x-µ)(y-ỹ)])</f>
        <v>264945</v>
      </c>
    </row>
    <row r="27" spans="1:8" x14ac:dyDescent="0.3">
      <c r="B27" s="5"/>
      <c r="C27" s="5"/>
      <c r="D27" s="5"/>
    </row>
    <row r="29" spans="1:8" x14ac:dyDescent="0.3">
      <c r="A29" t="s">
        <v>12</v>
      </c>
      <c r="B29">
        <f>_xlfn.QUARTILE.INC(Day7Data[Ad_Spend_USD (x)],1)</f>
        <v>550</v>
      </c>
      <c r="C29">
        <f>_xlfn.QUARTILE.INC(Day7Data[Leads_Generated (y)],1)</f>
        <v>174</v>
      </c>
    </row>
    <row r="30" spans="1:8" x14ac:dyDescent="0.3">
      <c r="A30" t="s">
        <v>13</v>
      </c>
      <c r="B30">
        <f>_xlfn.QUARTILE.INC(Day7Data[Ad_Spend_USD (x)],3)</f>
        <v>862.5</v>
      </c>
      <c r="C30">
        <f>_xlfn.QUARTILE.INC(Day7Data[Leads_Generated (y)],3)</f>
        <v>293.75</v>
      </c>
    </row>
    <row r="31" spans="1:8" x14ac:dyDescent="0.3">
      <c r="A31" t="s">
        <v>14</v>
      </c>
      <c r="B31">
        <f>B30-B29</f>
        <v>312.5</v>
      </c>
      <c r="C31">
        <f>C30-C29</f>
        <v>119.75</v>
      </c>
    </row>
    <row r="32" spans="1:8" x14ac:dyDescent="0.3">
      <c r="A32" t="s">
        <v>15</v>
      </c>
      <c r="B32">
        <f>B29-1.5*(B31)</f>
        <v>81.25</v>
      </c>
      <c r="C32">
        <f>C29-1.5*(C31)</f>
        <v>-5.625</v>
      </c>
    </row>
    <row r="33" spans="1:3" x14ac:dyDescent="0.3">
      <c r="A33" t="s">
        <v>16</v>
      </c>
      <c r="B33">
        <f>B30+1.5*(B31)</f>
        <v>1331.25</v>
      </c>
      <c r="C33">
        <f>C30+1.5*(C31)</f>
        <v>473.375</v>
      </c>
    </row>
    <row r="34" spans="1:3" x14ac:dyDescent="0.3">
      <c r="A34" t="s">
        <v>17</v>
      </c>
      <c r="B34" s="6">
        <f>CORREL(Day7Data[Ad_Spend_USD (x)],(Day7Data[Leads_Generated (y)]))</f>
        <v>0.99565649790983701</v>
      </c>
    </row>
    <row r="35" spans="1:3" x14ac:dyDescent="0.3">
      <c r="A35" t="s">
        <v>18</v>
      </c>
      <c r="B35">
        <f>AVERAGE(Day7Data[Ad_Spend_USD (x)])</f>
        <v>712.5</v>
      </c>
      <c r="C35">
        <f>AVERAGE(Day7Data[Leads_Generated (y)])</f>
        <v>235.1</v>
      </c>
    </row>
    <row r="36" spans="1:3" x14ac:dyDescent="0.3">
      <c r="A36" s="7" t="s">
        <v>19</v>
      </c>
      <c r="B36" s="8">
        <f>Day7Data[[#Totals],[(x-µ)²]]*Day7Data[[#Totals],[MD (y-ỹ)²]]</f>
        <v>70809640775</v>
      </c>
    </row>
    <row r="37" spans="1:3" x14ac:dyDescent="0.3">
      <c r="A37" s="7" t="s">
        <v>20</v>
      </c>
      <c r="B37" s="8">
        <f>SQRT(B36)</f>
        <v>266100.80942191812</v>
      </c>
    </row>
    <row r="38" spans="1:3" x14ac:dyDescent="0.3">
      <c r="A38" s="7" t="s">
        <v>21</v>
      </c>
      <c r="B38" s="9">
        <f>Day7Data[[#Totals],[(x-µ)(y-ỹ)]]/B37</f>
        <v>0.99565649790983712</v>
      </c>
    </row>
  </sheetData>
  <phoneticPr fontId="7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2026-04-28T17:07:04Z</dcterms:created>
  <dcterms:modified xsi:type="dcterms:W3CDTF">2026-05-01T09:51:51Z</dcterms:modified>
</cp:coreProperties>
</file>