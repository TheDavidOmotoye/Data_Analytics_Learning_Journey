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C869B660-FC07-4129-B675-05640E91F813}" xr6:coauthVersionLast="47" xr6:coauthVersionMax="47" xr10:uidLastSave="{00000000-0000-0000-0000-000000000000}"/>
  <bookViews>
    <workbookView xWindow="-108" yWindow="-108" windowWidth="23256" windowHeight="12456" xr2:uid="{E2E3519A-F205-4F64-AE58-3F3288131DE5}"/>
  </bookViews>
  <sheets>
    <sheet name="Day10" sheetId="1" r:id="rId1"/>
  </sheets>
  <externalReferences>
    <externalReference r:id="rId2"/>
  </externalReferences>
  <definedNames>
    <definedName name="_xlchart.v1.0" hidden="1">'Day10'!$D$6:$D$55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O46" i="1"/>
  <c r="N46" i="1"/>
  <c r="M46" i="1"/>
  <c r="L46" i="1"/>
  <c r="O41" i="1"/>
  <c r="N41" i="1"/>
  <c r="M41" i="1"/>
  <c r="O40" i="1"/>
  <c r="N40" i="1"/>
  <c r="M40" i="1"/>
  <c r="O36" i="1"/>
  <c r="O37" i="1" s="1"/>
  <c r="N36" i="1"/>
  <c r="M36" i="1"/>
  <c r="O35" i="1"/>
  <c r="N35" i="1"/>
  <c r="M35" i="1"/>
  <c r="P30" i="1"/>
  <c r="O30" i="1"/>
  <c r="N30" i="1"/>
  <c r="M30" i="1"/>
  <c r="L30" i="1"/>
  <c r="P25" i="1"/>
  <c r="O25" i="1"/>
  <c r="N25" i="1"/>
  <c r="M25" i="1"/>
  <c r="L25" i="1"/>
  <c r="P20" i="1"/>
  <c r="O20" i="1"/>
  <c r="N20" i="1"/>
  <c r="M20" i="1"/>
  <c r="L20" i="1"/>
  <c r="M37" i="1" l="1"/>
  <c r="M39" i="1" s="1"/>
  <c r="O38" i="1"/>
  <c r="M38" i="1"/>
  <c r="O39" i="1"/>
  <c r="N37" i="1"/>
  <c r="N38" i="1" s="1"/>
  <c r="N39" i="1" l="1"/>
</calcChain>
</file>

<file path=xl/sharedStrings.xml><?xml version="1.0" encoding="utf-8"?>
<sst xmlns="http://schemas.openxmlformats.org/spreadsheetml/2006/main" count="223" uniqueCount="130">
  <si>
    <t>Day 10 Dataset: Mini Project</t>
  </si>
  <si>
    <t>Objective</t>
  </si>
  <si>
    <t>Run a small statistical analysis project and present 3–5 business insights.</t>
  </si>
  <si>
    <t>Suggested practice</t>
  </si>
  <si>
    <t>Analyze salary, performance, training hours, absenteeism, and tenure. Check central tendency, spread, correlation, and outliers.</t>
  </si>
  <si>
    <t>Employee_ID</t>
  </si>
  <si>
    <t>Department</t>
  </si>
  <si>
    <t>Tenure_Years</t>
  </si>
  <si>
    <t>Monthly_Salary</t>
  </si>
  <si>
    <t>Performance_Score</t>
  </si>
  <si>
    <t>Training_Hours</t>
  </si>
  <si>
    <t>Absent_Days</t>
  </si>
  <si>
    <t>Projects_Completed</t>
  </si>
  <si>
    <t>1)</t>
  </si>
  <si>
    <t>M001</t>
  </si>
  <si>
    <t>IT</t>
  </si>
  <si>
    <t>DATA TYPES</t>
  </si>
  <si>
    <t>M002</t>
  </si>
  <si>
    <t>Finance</t>
  </si>
  <si>
    <t>COLUMN</t>
  </si>
  <si>
    <t>TYPE</t>
  </si>
  <si>
    <t>WHY</t>
  </si>
  <si>
    <t>M003</t>
  </si>
  <si>
    <t>Operations</t>
  </si>
  <si>
    <t>Qualitative (Nominal)</t>
  </si>
  <si>
    <t>It's an identifier</t>
  </si>
  <si>
    <t>M004</t>
  </si>
  <si>
    <t>Qualitative (Categorical)</t>
  </si>
  <si>
    <t>They are strings</t>
  </si>
  <si>
    <t>M005</t>
  </si>
  <si>
    <t>Marketing</t>
  </si>
  <si>
    <t>Quantitative (Continuous)</t>
  </si>
  <si>
    <t>They are measurable within a range of values</t>
  </si>
  <si>
    <t>M006</t>
  </si>
  <si>
    <t>Monthly Salary</t>
  </si>
  <si>
    <t>M007</t>
  </si>
  <si>
    <t>HR</t>
  </si>
  <si>
    <t>Rating</t>
  </si>
  <si>
    <t>M008</t>
  </si>
  <si>
    <t>Quantitative (Discrete)</t>
  </si>
  <si>
    <t>Whole numbers</t>
  </si>
  <si>
    <t>M009</t>
  </si>
  <si>
    <t>M010</t>
  </si>
  <si>
    <t>M011</t>
  </si>
  <si>
    <t>M012</t>
  </si>
  <si>
    <t>Sales</t>
  </si>
  <si>
    <t>2)</t>
  </si>
  <si>
    <t>M013</t>
  </si>
  <si>
    <t>MEAN</t>
  </si>
  <si>
    <t>M014</t>
  </si>
  <si>
    <t>MONTHLY SALARY</t>
  </si>
  <si>
    <t>PERFORMANCE SCORE</t>
  </si>
  <si>
    <t>TRAINING HOURS</t>
  </si>
  <si>
    <t>ABSENT DAYS</t>
  </si>
  <si>
    <t>PROJECTS COMPLETED</t>
  </si>
  <si>
    <t>M015</t>
  </si>
  <si>
    <t>M016</t>
  </si>
  <si>
    <t>M017</t>
  </si>
  <si>
    <t>3)</t>
  </si>
  <si>
    <t>M018</t>
  </si>
  <si>
    <t>MEDIAN</t>
  </si>
  <si>
    <t>M019</t>
  </si>
  <si>
    <t>M020</t>
  </si>
  <si>
    <t>M021</t>
  </si>
  <si>
    <t>M022</t>
  </si>
  <si>
    <t>4)</t>
  </si>
  <si>
    <t>M023</t>
  </si>
  <si>
    <t>STANDARD VARIATION</t>
  </si>
  <si>
    <t>M024</t>
  </si>
  <si>
    <t>M025</t>
  </si>
  <si>
    <t>M026</t>
  </si>
  <si>
    <t>M027</t>
  </si>
  <si>
    <t>5)</t>
  </si>
  <si>
    <t>M028</t>
  </si>
  <si>
    <t>OUTLIERS</t>
  </si>
  <si>
    <t>M029</t>
  </si>
  <si>
    <t>METRIC</t>
  </si>
  <si>
    <t>M030</t>
  </si>
  <si>
    <t>Q1</t>
  </si>
  <si>
    <t>M031</t>
  </si>
  <si>
    <t>Q3</t>
  </si>
  <si>
    <t>M032</t>
  </si>
  <si>
    <t>IQR</t>
  </si>
  <si>
    <t>M033</t>
  </si>
  <si>
    <t>LOWER BOUND</t>
  </si>
  <si>
    <t>M034</t>
  </si>
  <si>
    <t>UPPER BOUND</t>
  </si>
  <si>
    <t>M035</t>
  </si>
  <si>
    <t>MIN</t>
  </si>
  <si>
    <t>M036</t>
  </si>
  <si>
    <t>MAX</t>
  </si>
  <si>
    <t>M037</t>
  </si>
  <si>
    <t>M038</t>
  </si>
  <si>
    <t>6)</t>
  </si>
  <si>
    <t>M039</t>
  </si>
  <si>
    <t>CORRELATION ANALYSIS</t>
  </si>
  <si>
    <t>M040</t>
  </si>
  <si>
    <t>TRAINING VS PERF.</t>
  </si>
  <si>
    <t>ABSENT DAYS VS PERF.</t>
  </si>
  <si>
    <t>TENURE VS SALARY</t>
  </si>
  <si>
    <t>PROJECTS VS PERF.</t>
  </si>
  <si>
    <t>M041</t>
  </si>
  <si>
    <t>M042</t>
  </si>
  <si>
    <t>M043</t>
  </si>
  <si>
    <t>M044</t>
  </si>
  <si>
    <t>7)</t>
  </si>
  <si>
    <t>M045</t>
  </si>
  <si>
    <t>PIVOT TABLES</t>
  </si>
  <si>
    <t>M046</t>
  </si>
  <si>
    <t>i. DEPARTMENT PERFORMANCE OVERVIEW</t>
  </si>
  <si>
    <t>M047</t>
  </si>
  <si>
    <t>Row Labels</t>
  </si>
  <si>
    <t>Average of Performance_Score</t>
  </si>
  <si>
    <t>Average of Projects_Completed</t>
  </si>
  <si>
    <t>Average of Absent_Days</t>
  </si>
  <si>
    <t>M048</t>
  </si>
  <si>
    <t>M049</t>
  </si>
  <si>
    <t>M050</t>
  </si>
  <si>
    <t>Grand Total</t>
  </si>
  <si>
    <t>ii. COMPENSATION &amp; EXPERIENCE ANALYSIS</t>
  </si>
  <si>
    <t>Average of Monthly_Salary</t>
  </si>
  <si>
    <t>iii. TRAINING EFFECTIVENESS BY DEPARTMENT</t>
  </si>
  <si>
    <t>Average of Training_Hours</t>
  </si>
  <si>
    <t>8)</t>
  </si>
  <si>
    <t>CHARTS</t>
  </si>
  <si>
    <t>i) AVG. SALARY BY DEPT.</t>
  </si>
  <si>
    <t xml:space="preserve">ii) </t>
  </si>
  <si>
    <t>iii) TRAINING HOURS vs PERFORMANCE SCORE</t>
  </si>
  <si>
    <t>iv) TENURE VS MONTHLY SALARY</t>
  </si>
  <si>
    <t>v) 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</si>
</sst>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\$#,##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[day_10_solution.xlsx]Day10!PivotTable28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Monthly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'Day10'!$M$62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F-4884-BAC7-87979C52CC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F-4884-BAC7-87979C52CC3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F-4884-BAC7-87979C52CC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F-4884-BAC7-87979C52CC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F-4884-BAC7-87979C52CC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F-4884-BAC7-87979C52CC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'Day10'!$L$63:$L$69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'Day10'!$M$63:$M$69</c:f>
              <c:numCache>
                <c:formatCode>\$#,##0</c:formatCode>
                <c:ptCount val="6"/>
                <c:pt idx="0">
                  <c:v>3769</c:v>
                </c:pt>
                <c:pt idx="1">
                  <c:v>3409.1666666666665</c:v>
                </c:pt>
                <c:pt idx="2">
                  <c:v>4115.3999999999996</c:v>
                </c:pt>
                <c:pt idx="3">
                  <c:v>3933.8888888888887</c:v>
                </c:pt>
                <c:pt idx="4">
                  <c:v>3229.1666666666665</c:v>
                </c:pt>
                <c:pt idx="5">
                  <c:v>3561.25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1F-4884-BAC7-87979C52CC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93116383"/>
        <c:axId val="1893118783"/>
      </c:barChart>
      <c:catAx>
        <c:axId val="189311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118783"/>
        <c:crosses val="autoZero"/>
        <c:auto val="1"/>
        <c:lblAlgn val="ctr"/>
        <c:lblOffset val="100"/>
        <c:noMultiLvlLbl val="0"/>
      </c:catAx>
      <c:valAx>
        <c:axId val="189311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11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[day_10_solution.xlsx]Day10!PivotTable29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Training Hours and Performance Score by Department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'Day10'!$M$72</c:f>
              <c:strCache>
                <c:ptCount val="1"/>
                <c:pt idx="0">
                  <c:v>Average of Training_Hours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'Day10'!$L$73:$L$79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'Day10'!$M$73:$M$79</c:f>
              <c:numCache>
                <c:formatCode>General</c:formatCode>
                <c:ptCount val="6"/>
                <c:pt idx="0">
                  <c:v>23.181818181818183</c:v>
                </c:pt>
                <c:pt idx="1">
                  <c:v>22.333333333333332</c:v>
                </c:pt>
                <c:pt idx="2">
                  <c:v>23.7</c:v>
                </c:pt>
                <c:pt idx="3">
                  <c:v>26.444444444444443</c:v>
                </c:pt>
                <c:pt idx="4">
                  <c:v>21.666666666666668</c:v>
                </c:pt>
                <c:pt idx="5">
                  <c:v>28.375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7-4B2B-B262-9402377E4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3312367"/>
        <c:axId val="1983312847"/>
      </c:barChart>
      <c:lineChart>
        <c:grouping val="standard"/>
        <c:varyColors val="0"/>
        <c:ser>
          <c:idx val="1"/>
          <c:order val="1"/>
          <c:tx>
            <c:strRef>
              <c:f>'Day10'!$N$72</c:f>
              <c:strCache>
                <c:ptCount val="1"/>
                <c:pt idx="0">
                  <c:v>Average of Performance_Score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'Day10'!$L$73:$L$79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'Day10'!$N$73:$N$79</c:f>
              <c:numCache>
                <c:formatCode>0.0</c:formatCode>
                <c:ptCount val="6"/>
                <c:pt idx="0">
                  <c:v>3.5363636363636362</c:v>
                </c:pt>
                <c:pt idx="1">
                  <c:v>3.4666666666666668</c:v>
                </c:pt>
                <c:pt idx="2">
                  <c:v>3.56</c:v>
                </c:pt>
                <c:pt idx="3">
                  <c:v>3.6444444444444448</c:v>
                </c:pt>
                <c:pt idx="4">
                  <c:v>3.5</c:v>
                </c:pt>
                <c:pt idx="5">
                  <c:v>3.8375000000000004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7-4B2B-B262-9402377E4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312367"/>
        <c:axId val="1983312847"/>
      </c:lineChart>
      <c:catAx>
        <c:axId val="198331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312847"/>
        <c:crosses val="autoZero"/>
        <c:auto val="1"/>
        <c:lblAlgn val="ctr"/>
        <c:lblOffset val="100"/>
        <c:noMultiLvlLbl val="0"/>
      </c:catAx>
      <c:valAx>
        <c:axId val="19833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3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Training Hours vs Performance Score</a:t>
            </a:r>
            <a:endParaRPr lang="en-NG"/>
          </a:p>
        </c:rich>
      </c:tx>
      <c:layout>
        <c:manualLayout>
          <c:xMode val="edge"/>
          <c:yMode val="edge"/>
          <c:x val="0.2063748906386701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'Day10'!$F$1:$F$5</c:f>
              <c:strCache>
                <c:ptCount val="5"/>
                <c:pt idx="4">
                  <c:v>Training_Hours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7469378827646545E-3"/>
                  <c:y val="-3.08205745115194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'Day10'!$E$6:$E$117</c:f>
              <c:numCache>
                <c:formatCode>0.0</c:formatCode>
                <c:ptCount val="112"/>
                <c:pt idx="0">
                  <c:v>3.6</c:v>
                </c:pt>
                <c:pt idx="1">
                  <c:v>4.7</c:v>
                </c:pt>
                <c:pt idx="2">
                  <c:v>3.7</c:v>
                </c:pt>
                <c:pt idx="3">
                  <c:v>3</c:v>
                </c:pt>
                <c:pt idx="4">
                  <c:v>3.9</c:v>
                </c:pt>
                <c:pt idx="5">
                  <c:v>3.9</c:v>
                </c:pt>
                <c:pt idx="6">
                  <c:v>4</c:v>
                </c:pt>
                <c:pt idx="7">
                  <c:v>2.8</c:v>
                </c:pt>
                <c:pt idx="8">
                  <c:v>3.1</c:v>
                </c:pt>
                <c:pt idx="9">
                  <c:v>4</c:v>
                </c:pt>
                <c:pt idx="10">
                  <c:v>3.3</c:v>
                </c:pt>
                <c:pt idx="11">
                  <c:v>4.8</c:v>
                </c:pt>
                <c:pt idx="12">
                  <c:v>2.5</c:v>
                </c:pt>
                <c:pt idx="13">
                  <c:v>3.1</c:v>
                </c:pt>
                <c:pt idx="14">
                  <c:v>4.0999999999999996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2.7</c:v>
                </c:pt>
                <c:pt idx="18">
                  <c:v>4.2</c:v>
                </c:pt>
                <c:pt idx="19">
                  <c:v>4.5999999999999996</c:v>
                </c:pt>
                <c:pt idx="20">
                  <c:v>3.9</c:v>
                </c:pt>
                <c:pt idx="21">
                  <c:v>3.7</c:v>
                </c:pt>
                <c:pt idx="22">
                  <c:v>3.1</c:v>
                </c:pt>
                <c:pt idx="23">
                  <c:v>4</c:v>
                </c:pt>
                <c:pt idx="24">
                  <c:v>3.6</c:v>
                </c:pt>
                <c:pt idx="25">
                  <c:v>3.6</c:v>
                </c:pt>
                <c:pt idx="26">
                  <c:v>4</c:v>
                </c:pt>
                <c:pt idx="27">
                  <c:v>3.7</c:v>
                </c:pt>
                <c:pt idx="28">
                  <c:v>3.8</c:v>
                </c:pt>
                <c:pt idx="29">
                  <c:v>3.8</c:v>
                </c:pt>
                <c:pt idx="30">
                  <c:v>3.5</c:v>
                </c:pt>
                <c:pt idx="31">
                  <c:v>4.2</c:v>
                </c:pt>
                <c:pt idx="32">
                  <c:v>4</c:v>
                </c:pt>
                <c:pt idx="33">
                  <c:v>2.2999999999999998</c:v>
                </c:pt>
                <c:pt idx="34">
                  <c:v>3.6</c:v>
                </c:pt>
                <c:pt idx="35">
                  <c:v>4.5</c:v>
                </c:pt>
                <c:pt idx="36">
                  <c:v>3.1</c:v>
                </c:pt>
                <c:pt idx="37">
                  <c:v>3.9</c:v>
                </c:pt>
                <c:pt idx="38">
                  <c:v>4.2</c:v>
                </c:pt>
                <c:pt idx="39">
                  <c:v>2.5</c:v>
                </c:pt>
                <c:pt idx="40">
                  <c:v>3.7</c:v>
                </c:pt>
                <c:pt idx="41">
                  <c:v>4.3</c:v>
                </c:pt>
                <c:pt idx="42">
                  <c:v>4.5</c:v>
                </c:pt>
                <c:pt idx="43">
                  <c:v>3.3</c:v>
                </c:pt>
                <c:pt idx="44">
                  <c:v>3.5</c:v>
                </c:pt>
                <c:pt idx="45">
                  <c:v>3.6</c:v>
                </c:pt>
                <c:pt idx="46">
                  <c:v>4.2</c:v>
                </c:pt>
                <c:pt idx="47">
                  <c:v>3.6</c:v>
                </c:pt>
                <c:pt idx="48">
                  <c:v>2.2999999999999998</c:v>
                </c:pt>
                <c:pt idx="49">
                  <c:v>3.2</c:v>
                </c:pt>
              </c:numCache>
            </c:numRef>
          </c:xVal>
          <c:yVal>
            <c:numRef>
              <c:f>'Day10'!$F$6:$F$117</c:f>
              <c:numCache>
                <c:formatCode>General</c:formatCode>
                <c:ptCount val="112"/>
                <c:pt idx="0">
                  <c:v>23</c:v>
                </c:pt>
                <c:pt idx="1">
                  <c:v>40</c:v>
                </c:pt>
                <c:pt idx="2">
                  <c:v>19</c:v>
                </c:pt>
                <c:pt idx="3">
                  <c:v>19</c:v>
                </c:pt>
                <c:pt idx="4">
                  <c:v>30</c:v>
                </c:pt>
                <c:pt idx="5">
                  <c:v>32</c:v>
                </c:pt>
                <c:pt idx="6">
                  <c:v>33</c:v>
                </c:pt>
                <c:pt idx="7">
                  <c:v>16</c:v>
                </c:pt>
                <c:pt idx="8">
                  <c:v>7</c:v>
                </c:pt>
                <c:pt idx="9">
                  <c:v>30</c:v>
                </c:pt>
                <c:pt idx="10">
                  <c:v>23</c:v>
                </c:pt>
                <c:pt idx="11">
                  <c:v>40</c:v>
                </c:pt>
                <c:pt idx="12">
                  <c:v>8</c:v>
                </c:pt>
                <c:pt idx="13">
                  <c:v>14</c:v>
                </c:pt>
                <c:pt idx="14">
                  <c:v>29</c:v>
                </c:pt>
                <c:pt idx="15">
                  <c:v>7</c:v>
                </c:pt>
                <c:pt idx="16">
                  <c:v>10</c:v>
                </c:pt>
                <c:pt idx="17">
                  <c:v>13</c:v>
                </c:pt>
                <c:pt idx="18">
                  <c:v>29</c:v>
                </c:pt>
                <c:pt idx="19">
                  <c:v>37</c:v>
                </c:pt>
                <c:pt idx="20">
                  <c:v>39</c:v>
                </c:pt>
                <c:pt idx="21">
                  <c:v>33</c:v>
                </c:pt>
                <c:pt idx="22">
                  <c:v>11</c:v>
                </c:pt>
                <c:pt idx="23">
                  <c:v>30</c:v>
                </c:pt>
                <c:pt idx="24">
                  <c:v>22</c:v>
                </c:pt>
                <c:pt idx="25">
                  <c:v>18</c:v>
                </c:pt>
                <c:pt idx="26">
                  <c:v>36</c:v>
                </c:pt>
                <c:pt idx="27">
                  <c:v>31</c:v>
                </c:pt>
                <c:pt idx="28">
                  <c:v>28</c:v>
                </c:pt>
                <c:pt idx="29">
                  <c:v>25</c:v>
                </c:pt>
                <c:pt idx="30">
                  <c:v>17</c:v>
                </c:pt>
                <c:pt idx="31">
                  <c:v>39</c:v>
                </c:pt>
                <c:pt idx="32">
                  <c:v>25</c:v>
                </c:pt>
                <c:pt idx="33">
                  <c:v>24</c:v>
                </c:pt>
                <c:pt idx="34">
                  <c:v>24</c:v>
                </c:pt>
                <c:pt idx="35">
                  <c:v>36</c:v>
                </c:pt>
                <c:pt idx="36">
                  <c:v>9</c:v>
                </c:pt>
                <c:pt idx="37">
                  <c:v>32</c:v>
                </c:pt>
                <c:pt idx="38">
                  <c:v>34</c:v>
                </c:pt>
                <c:pt idx="39">
                  <c:v>12</c:v>
                </c:pt>
                <c:pt idx="40">
                  <c:v>21</c:v>
                </c:pt>
                <c:pt idx="41">
                  <c:v>36</c:v>
                </c:pt>
                <c:pt idx="42">
                  <c:v>35</c:v>
                </c:pt>
                <c:pt idx="43">
                  <c:v>18</c:v>
                </c:pt>
                <c:pt idx="44">
                  <c:v>15</c:v>
                </c:pt>
                <c:pt idx="45">
                  <c:v>24</c:v>
                </c:pt>
                <c:pt idx="46">
                  <c:v>38</c:v>
                </c:pt>
                <c:pt idx="47">
                  <c:v>26</c:v>
                </c:pt>
                <c:pt idx="48">
                  <c:v>7</c:v>
                </c:pt>
                <c:pt idx="4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77-425A-80EC-4B3BD24C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340207"/>
        <c:axId val="1983342127"/>
      </c:scatterChart>
      <c:valAx>
        <c:axId val="198334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Score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342127"/>
        <c:crosses val="autoZero"/>
        <c:crossBetween val="midCat"/>
      </c:valAx>
      <c:valAx>
        <c:axId val="19833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Hours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34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Tenure vs Monthly Salary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6342957130358707E-4"/>
                  <c:y val="-8.57939632545931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'Day10'!$C$6:$C$55</c:f>
              <c:numCache>
                <c:formatCode>0.0</c:formatCode>
                <c:ptCount val="50"/>
                <c:pt idx="0">
                  <c:v>5.0999999999999996</c:v>
                </c:pt>
                <c:pt idx="1">
                  <c:v>3.7</c:v>
                </c:pt>
                <c:pt idx="2">
                  <c:v>7.1</c:v>
                </c:pt>
                <c:pt idx="3">
                  <c:v>4.9000000000000004</c:v>
                </c:pt>
                <c:pt idx="4">
                  <c:v>0.7</c:v>
                </c:pt>
                <c:pt idx="5">
                  <c:v>8.6</c:v>
                </c:pt>
                <c:pt idx="6">
                  <c:v>5.0999999999999996</c:v>
                </c:pt>
                <c:pt idx="7">
                  <c:v>7</c:v>
                </c:pt>
                <c:pt idx="8">
                  <c:v>0.8</c:v>
                </c:pt>
                <c:pt idx="9">
                  <c:v>2.2000000000000002</c:v>
                </c:pt>
                <c:pt idx="10">
                  <c:v>7.7</c:v>
                </c:pt>
                <c:pt idx="11">
                  <c:v>5</c:v>
                </c:pt>
                <c:pt idx="12">
                  <c:v>1.2</c:v>
                </c:pt>
                <c:pt idx="13">
                  <c:v>6.4</c:v>
                </c:pt>
                <c:pt idx="14">
                  <c:v>4.9000000000000004</c:v>
                </c:pt>
                <c:pt idx="15">
                  <c:v>9.6999999999999993</c:v>
                </c:pt>
                <c:pt idx="16">
                  <c:v>9.4</c:v>
                </c:pt>
                <c:pt idx="17">
                  <c:v>7.1</c:v>
                </c:pt>
                <c:pt idx="18">
                  <c:v>5.6</c:v>
                </c:pt>
                <c:pt idx="19">
                  <c:v>8.6</c:v>
                </c:pt>
                <c:pt idx="20">
                  <c:v>2</c:v>
                </c:pt>
                <c:pt idx="21">
                  <c:v>7.9</c:v>
                </c:pt>
                <c:pt idx="22">
                  <c:v>8.6</c:v>
                </c:pt>
                <c:pt idx="23">
                  <c:v>5.9</c:v>
                </c:pt>
                <c:pt idx="24">
                  <c:v>5.0999999999999996</c:v>
                </c:pt>
                <c:pt idx="25">
                  <c:v>0.6</c:v>
                </c:pt>
                <c:pt idx="26">
                  <c:v>7.7</c:v>
                </c:pt>
                <c:pt idx="27">
                  <c:v>1.4</c:v>
                </c:pt>
                <c:pt idx="28">
                  <c:v>5</c:v>
                </c:pt>
                <c:pt idx="29">
                  <c:v>7.2</c:v>
                </c:pt>
                <c:pt idx="30">
                  <c:v>1.6</c:v>
                </c:pt>
                <c:pt idx="31">
                  <c:v>6.1</c:v>
                </c:pt>
                <c:pt idx="32">
                  <c:v>2.7</c:v>
                </c:pt>
                <c:pt idx="33">
                  <c:v>0.9</c:v>
                </c:pt>
                <c:pt idx="34">
                  <c:v>8.8000000000000007</c:v>
                </c:pt>
                <c:pt idx="35">
                  <c:v>9.6999999999999993</c:v>
                </c:pt>
                <c:pt idx="36">
                  <c:v>1.2</c:v>
                </c:pt>
                <c:pt idx="37">
                  <c:v>9.9</c:v>
                </c:pt>
                <c:pt idx="38">
                  <c:v>4.0999999999999996</c:v>
                </c:pt>
                <c:pt idx="39">
                  <c:v>5.9</c:v>
                </c:pt>
                <c:pt idx="40">
                  <c:v>6.8</c:v>
                </c:pt>
                <c:pt idx="41">
                  <c:v>4.4000000000000004</c:v>
                </c:pt>
                <c:pt idx="42">
                  <c:v>3.2</c:v>
                </c:pt>
                <c:pt idx="43">
                  <c:v>6.1</c:v>
                </c:pt>
                <c:pt idx="44">
                  <c:v>1.9</c:v>
                </c:pt>
                <c:pt idx="45">
                  <c:v>7.6</c:v>
                </c:pt>
                <c:pt idx="46">
                  <c:v>4.3</c:v>
                </c:pt>
                <c:pt idx="47">
                  <c:v>0.9</c:v>
                </c:pt>
                <c:pt idx="48">
                  <c:v>9.6</c:v>
                </c:pt>
                <c:pt idx="49">
                  <c:v>0.9</c:v>
                </c:pt>
              </c:numCache>
            </c:numRef>
          </c:xVal>
          <c:yVal>
            <c:numRef>
              <c:f>'Day10'!$D$6:$D$55</c:f>
              <c:numCache>
                <c:formatCode>\$#,##0</c:formatCode>
                <c:ptCount val="50"/>
                <c:pt idx="0">
                  <c:v>4084</c:v>
                </c:pt>
                <c:pt idx="1">
                  <c:v>3851</c:v>
                </c:pt>
                <c:pt idx="2">
                  <c:v>3463</c:v>
                </c:pt>
                <c:pt idx="3">
                  <c:v>3969</c:v>
                </c:pt>
                <c:pt idx="4">
                  <c:v>3284</c:v>
                </c:pt>
                <c:pt idx="5">
                  <c:v>3770</c:v>
                </c:pt>
                <c:pt idx="6">
                  <c:v>3101</c:v>
                </c:pt>
                <c:pt idx="7">
                  <c:v>7800</c:v>
                </c:pt>
                <c:pt idx="8">
                  <c:v>3647</c:v>
                </c:pt>
                <c:pt idx="9">
                  <c:v>2647</c:v>
                </c:pt>
                <c:pt idx="10">
                  <c:v>4068</c:v>
                </c:pt>
                <c:pt idx="11">
                  <c:v>3533</c:v>
                </c:pt>
                <c:pt idx="12">
                  <c:v>3384</c:v>
                </c:pt>
                <c:pt idx="13">
                  <c:v>3440</c:v>
                </c:pt>
                <c:pt idx="14">
                  <c:v>3069</c:v>
                </c:pt>
                <c:pt idx="15">
                  <c:v>3569</c:v>
                </c:pt>
                <c:pt idx="16">
                  <c:v>3479</c:v>
                </c:pt>
                <c:pt idx="17">
                  <c:v>3556</c:v>
                </c:pt>
                <c:pt idx="18">
                  <c:v>3960</c:v>
                </c:pt>
                <c:pt idx="19">
                  <c:v>4003</c:v>
                </c:pt>
                <c:pt idx="20">
                  <c:v>3080</c:v>
                </c:pt>
                <c:pt idx="21">
                  <c:v>4536</c:v>
                </c:pt>
                <c:pt idx="22">
                  <c:v>4407</c:v>
                </c:pt>
                <c:pt idx="23">
                  <c:v>3300</c:v>
                </c:pt>
                <c:pt idx="24">
                  <c:v>3143</c:v>
                </c:pt>
                <c:pt idx="25">
                  <c:v>3907</c:v>
                </c:pt>
                <c:pt idx="26">
                  <c:v>4627</c:v>
                </c:pt>
                <c:pt idx="27">
                  <c:v>2831</c:v>
                </c:pt>
                <c:pt idx="28">
                  <c:v>3821</c:v>
                </c:pt>
                <c:pt idx="29">
                  <c:v>3952</c:v>
                </c:pt>
                <c:pt idx="30">
                  <c:v>3416</c:v>
                </c:pt>
                <c:pt idx="31">
                  <c:v>3871</c:v>
                </c:pt>
                <c:pt idx="32">
                  <c:v>3365</c:v>
                </c:pt>
                <c:pt idx="33">
                  <c:v>3085</c:v>
                </c:pt>
                <c:pt idx="34">
                  <c:v>3899</c:v>
                </c:pt>
                <c:pt idx="35">
                  <c:v>3643</c:v>
                </c:pt>
                <c:pt idx="36">
                  <c:v>2716</c:v>
                </c:pt>
                <c:pt idx="37">
                  <c:v>3798</c:v>
                </c:pt>
                <c:pt idx="38">
                  <c:v>4307</c:v>
                </c:pt>
                <c:pt idx="39">
                  <c:v>3688</c:v>
                </c:pt>
                <c:pt idx="40">
                  <c:v>3846</c:v>
                </c:pt>
                <c:pt idx="41">
                  <c:v>3430</c:v>
                </c:pt>
                <c:pt idx="42">
                  <c:v>3574</c:v>
                </c:pt>
                <c:pt idx="43">
                  <c:v>3893</c:v>
                </c:pt>
                <c:pt idx="44">
                  <c:v>3114</c:v>
                </c:pt>
                <c:pt idx="45">
                  <c:v>4553</c:v>
                </c:pt>
                <c:pt idx="46">
                  <c:v>3405</c:v>
                </c:pt>
                <c:pt idx="47">
                  <c:v>3679</c:v>
                </c:pt>
                <c:pt idx="48">
                  <c:v>3930</c:v>
                </c:pt>
                <c:pt idx="49">
                  <c:v>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5-4156-A893-D829E833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88847"/>
        <c:axId val="1983305647"/>
      </c:scatterChart>
      <c:valAx>
        <c:axId val="198328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305647"/>
        <c:crosses val="autoZero"/>
        <c:crossBetween val="midCat"/>
      </c:valAx>
      <c:valAx>
        <c:axId val="19833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8328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Monthly Salaries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AA5CF1BC-95CB-4835-9568-D07FB4DCAD5E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Salary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Salary Range</a:t>
              </a:r>
            </a:p>
          </cx:txPr>
        </cx:title>
        <cx:tickLabels/>
      </cx:axis>
      <cx:axis id="1">
        <cx:valScaling/>
        <cx:title>
          <cx:tx>
            <cx:txData>
              <cx:v>No of Employees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No of Employees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83</xdr:row>
      <xdr:rowOff>11430</xdr:rowOff>
    </xdr:from>
    <xdr:to>
      <xdr:col>14</xdr:col>
      <xdr:colOff>693420</xdr:colOff>
      <xdr:row>98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E4E57-6F85-430C-829B-4E1AB12E0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100</xdr:row>
      <xdr:rowOff>26670</xdr:rowOff>
    </xdr:from>
    <xdr:to>
      <xdr:col>14</xdr:col>
      <xdr:colOff>7620</xdr:colOff>
      <xdr:row>115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8C6E45-2048-4227-94FD-DF00D299E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117</xdr:row>
      <xdr:rowOff>11430</xdr:rowOff>
    </xdr:from>
    <xdr:to>
      <xdr:col>14</xdr:col>
      <xdr:colOff>22860</xdr:colOff>
      <xdr:row>132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454257-2610-4C42-A89D-03B7A73AD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134</xdr:row>
      <xdr:rowOff>34290</xdr:rowOff>
    </xdr:from>
    <xdr:to>
      <xdr:col>14</xdr:col>
      <xdr:colOff>7620</xdr:colOff>
      <xdr:row>149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8BA145-C4DB-405E-BDDD-8F06725C2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151</xdr:row>
      <xdr:rowOff>3810</xdr:rowOff>
    </xdr:from>
    <xdr:to>
      <xdr:col>13</xdr:col>
      <xdr:colOff>2621280</xdr:colOff>
      <xdr:row>166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260D7CC-74E5-4D9A-B56F-F9A11293FD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2120" y="28487370"/>
              <a:ext cx="5524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31ac04eec9a4d31/Documents/DAY%201O.xlsx" TargetMode="External"/><Relationship Id="rId1" Type="http://schemas.openxmlformats.org/officeDocument/2006/relationships/externalLinkPath" Target="DAY%2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10"/>
    </sheetNames>
    <sheetDataSet>
      <sheetData sheetId="0">
        <row r="5">
          <cell r="F5" t="str">
            <v>Training_Hours</v>
          </cell>
        </row>
        <row r="6">
          <cell r="C6">
            <v>5.0999999999999996</v>
          </cell>
          <cell r="D6">
            <v>4084</v>
          </cell>
          <cell r="E6">
            <v>3.6</v>
          </cell>
          <cell r="F6">
            <v>23</v>
          </cell>
        </row>
        <row r="7">
          <cell r="C7">
            <v>3.7</v>
          </cell>
          <cell r="D7">
            <v>3851</v>
          </cell>
          <cell r="E7">
            <v>4.7</v>
          </cell>
          <cell r="F7">
            <v>40</v>
          </cell>
        </row>
        <row r="8">
          <cell r="C8">
            <v>7.1</v>
          </cell>
          <cell r="D8">
            <v>3463</v>
          </cell>
          <cell r="E8">
            <v>3.7</v>
          </cell>
          <cell r="F8">
            <v>19</v>
          </cell>
        </row>
        <row r="9">
          <cell r="C9">
            <v>4.9000000000000004</v>
          </cell>
          <cell r="D9">
            <v>3969</v>
          </cell>
          <cell r="E9">
            <v>3</v>
          </cell>
          <cell r="F9">
            <v>19</v>
          </cell>
        </row>
        <row r="10">
          <cell r="C10">
            <v>0.7</v>
          </cell>
          <cell r="D10">
            <v>3284</v>
          </cell>
          <cell r="E10">
            <v>3.9</v>
          </cell>
          <cell r="F10">
            <v>30</v>
          </cell>
        </row>
        <row r="11">
          <cell r="C11">
            <v>8.6</v>
          </cell>
          <cell r="D11">
            <v>3770</v>
          </cell>
          <cell r="E11">
            <v>3.9</v>
          </cell>
          <cell r="F11">
            <v>32</v>
          </cell>
        </row>
        <row r="12">
          <cell r="C12">
            <v>5.0999999999999996</v>
          </cell>
          <cell r="D12">
            <v>3101</v>
          </cell>
          <cell r="E12">
            <v>4</v>
          </cell>
          <cell r="F12">
            <v>33</v>
          </cell>
        </row>
        <row r="13">
          <cell r="C13">
            <v>7</v>
          </cell>
          <cell r="D13">
            <v>7800</v>
          </cell>
          <cell r="E13">
            <v>2.8</v>
          </cell>
          <cell r="F13">
            <v>16</v>
          </cell>
        </row>
        <row r="14">
          <cell r="C14">
            <v>0.8</v>
          </cell>
          <cell r="D14">
            <v>3647</v>
          </cell>
          <cell r="E14">
            <v>3.1</v>
          </cell>
          <cell r="F14">
            <v>7</v>
          </cell>
        </row>
        <row r="15">
          <cell r="C15">
            <v>2.2000000000000002</v>
          </cell>
          <cell r="D15">
            <v>2647</v>
          </cell>
          <cell r="E15">
            <v>4</v>
          </cell>
          <cell r="F15">
            <v>30</v>
          </cell>
        </row>
        <row r="16">
          <cell r="C16">
            <v>7.7</v>
          </cell>
          <cell r="D16">
            <v>4068</v>
          </cell>
          <cell r="E16">
            <v>3.3</v>
          </cell>
          <cell r="F16">
            <v>23</v>
          </cell>
        </row>
        <row r="17">
          <cell r="C17">
            <v>5</v>
          </cell>
          <cell r="D17">
            <v>3533</v>
          </cell>
          <cell r="E17">
            <v>4.8</v>
          </cell>
          <cell r="F17">
            <v>40</v>
          </cell>
        </row>
        <row r="18">
          <cell r="C18">
            <v>1.2</v>
          </cell>
          <cell r="D18">
            <v>3384</v>
          </cell>
          <cell r="E18">
            <v>2.5</v>
          </cell>
          <cell r="F18">
            <v>8</v>
          </cell>
        </row>
        <row r="19">
          <cell r="C19">
            <v>6.4</v>
          </cell>
          <cell r="D19">
            <v>3440</v>
          </cell>
          <cell r="E19">
            <v>3.1</v>
          </cell>
          <cell r="F19">
            <v>14</v>
          </cell>
        </row>
        <row r="20">
          <cell r="C20">
            <v>4.9000000000000004</v>
          </cell>
          <cell r="D20">
            <v>3069</v>
          </cell>
          <cell r="E20">
            <v>4.0999999999999996</v>
          </cell>
          <cell r="F20">
            <v>29</v>
          </cell>
        </row>
        <row r="21">
          <cell r="C21">
            <v>9.6999999999999993</v>
          </cell>
          <cell r="D21">
            <v>3569</v>
          </cell>
          <cell r="E21">
            <v>2.2999999999999998</v>
          </cell>
          <cell r="F21">
            <v>7</v>
          </cell>
        </row>
        <row r="22">
          <cell r="C22">
            <v>9.4</v>
          </cell>
          <cell r="D22">
            <v>3479</v>
          </cell>
          <cell r="E22">
            <v>2.2999999999999998</v>
          </cell>
          <cell r="F22">
            <v>10</v>
          </cell>
        </row>
        <row r="23">
          <cell r="C23">
            <v>7.1</v>
          </cell>
          <cell r="D23">
            <v>3556</v>
          </cell>
          <cell r="E23">
            <v>2.7</v>
          </cell>
          <cell r="F23">
            <v>13</v>
          </cell>
        </row>
        <row r="24">
          <cell r="C24">
            <v>5.6</v>
          </cell>
          <cell r="D24">
            <v>3960</v>
          </cell>
          <cell r="E24">
            <v>4.2</v>
          </cell>
          <cell r="F24">
            <v>29</v>
          </cell>
        </row>
        <row r="25">
          <cell r="C25">
            <v>8.6</v>
          </cell>
          <cell r="D25">
            <v>4003</v>
          </cell>
          <cell r="E25">
            <v>4.5999999999999996</v>
          </cell>
          <cell r="F25">
            <v>37</v>
          </cell>
        </row>
        <row r="26">
          <cell r="C26">
            <v>2</v>
          </cell>
          <cell r="D26">
            <v>3080</v>
          </cell>
          <cell r="E26">
            <v>3.9</v>
          </cell>
          <cell r="F26">
            <v>39</v>
          </cell>
        </row>
        <row r="27">
          <cell r="C27">
            <v>7.9</v>
          </cell>
          <cell r="D27">
            <v>4536</v>
          </cell>
          <cell r="E27">
            <v>3.7</v>
          </cell>
          <cell r="F27">
            <v>33</v>
          </cell>
        </row>
        <row r="28">
          <cell r="C28">
            <v>8.6</v>
          </cell>
          <cell r="D28">
            <v>4407</v>
          </cell>
          <cell r="E28">
            <v>3.1</v>
          </cell>
          <cell r="F28">
            <v>11</v>
          </cell>
        </row>
        <row r="29">
          <cell r="C29">
            <v>5.9</v>
          </cell>
          <cell r="D29">
            <v>3300</v>
          </cell>
          <cell r="E29">
            <v>4</v>
          </cell>
          <cell r="F29">
            <v>30</v>
          </cell>
        </row>
        <row r="30">
          <cell r="C30">
            <v>5.0999999999999996</v>
          </cell>
          <cell r="D30">
            <v>3143</v>
          </cell>
          <cell r="E30">
            <v>3.6</v>
          </cell>
          <cell r="F30">
            <v>22</v>
          </cell>
        </row>
        <row r="31">
          <cell r="C31">
            <v>0.6</v>
          </cell>
          <cell r="D31">
            <v>3907</v>
          </cell>
          <cell r="E31">
            <v>3.6</v>
          </cell>
          <cell r="F31">
            <v>18</v>
          </cell>
        </row>
        <row r="32">
          <cell r="C32">
            <v>7.7</v>
          </cell>
          <cell r="D32">
            <v>4627</v>
          </cell>
          <cell r="E32">
            <v>4</v>
          </cell>
          <cell r="F32">
            <v>36</v>
          </cell>
        </row>
        <row r="33">
          <cell r="C33">
            <v>1.4</v>
          </cell>
          <cell r="D33">
            <v>2831</v>
          </cell>
          <cell r="E33">
            <v>3.7</v>
          </cell>
          <cell r="F33">
            <v>31</v>
          </cell>
        </row>
        <row r="34">
          <cell r="C34">
            <v>5</v>
          </cell>
          <cell r="D34">
            <v>3821</v>
          </cell>
          <cell r="E34">
            <v>3.8</v>
          </cell>
          <cell r="F34">
            <v>28</v>
          </cell>
        </row>
        <row r="35">
          <cell r="C35">
            <v>7.2</v>
          </cell>
          <cell r="D35">
            <v>3952</v>
          </cell>
          <cell r="E35">
            <v>3.8</v>
          </cell>
          <cell r="F35">
            <v>25</v>
          </cell>
        </row>
        <row r="36">
          <cell r="C36">
            <v>1.6</v>
          </cell>
          <cell r="D36">
            <v>3416</v>
          </cell>
          <cell r="E36">
            <v>3.5</v>
          </cell>
          <cell r="F36">
            <v>17</v>
          </cell>
        </row>
        <row r="37">
          <cell r="C37">
            <v>6.1</v>
          </cell>
          <cell r="D37">
            <v>3871</v>
          </cell>
          <cell r="E37">
            <v>4.2</v>
          </cell>
          <cell r="F37">
            <v>39</v>
          </cell>
        </row>
        <row r="38">
          <cell r="C38">
            <v>2.7</v>
          </cell>
          <cell r="D38">
            <v>3365</v>
          </cell>
          <cell r="E38">
            <v>4</v>
          </cell>
          <cell r="F38">
            <v>25</v>
          </cell>
        </row>
        <row r="39">
          <cell r="C39">
            <v>0.9</v>
          </cell>
          <cell r="D39">
            <v>3085</v>
          </cell>
          <cell r="E39">
            <v>2.2999999999999998</v>
          </cell>
          <cell r="F39">
            <v>24</v>
          </cell>
        </row>
        <row r="40">
          <cell r="C40">
            <v>8.8000000000000007</v>
          </cell>
          <cell r="D40">
            <v>3899</v>
          </cell>
          <cell r="E40">
            <v>3.6</v>
          </cell>
          <cell r="F40">
            <v>24</v>
          </cell>
        </row>
        <row r="41">
          <cell r="C41">
            <v>9.6999999999999993</v>
          </cell>
          <cell r="D41">
            <v>3643</v>
          </cell>
          <cell r="E41">
            <v>4.5</v>
          </cell>
          <cell r="F41">
            <v>36</v>
          </cell>
        </row>
        <row r="42">
          <cell r="C42">
            <v>1.2</v>
          </cell>
          <cell r="D42">
            <v>2716</v>
          </cell>
          <cell r="E42">
            <v>3.1</v>
          </cell>
          <cell r="F42">
            <v>9</v>
          </cell>
        </row>
        <row r="43">
          <cell r="C43">
            <v>9.9</v>
          </cell>
          <cell r="D43">
            <v>3798</v>
          </cell>
          <cell r="E43">
            <v>3.9</v>
          </cell>
          <cell r="F43">
            <v>32</v>
          </cell>
        </row>
        <row r="44">
          <cell r="C44">
            <v>4.0999999999999996</v>
          </cell>
          <cell r="D44">
            <v>4307</v>
          </cell>
          <cell r="E44">
            <v>4.2</v>
          </cell>
          <cell r="F44">
            <v>34</v>
          </cell>
        </row>
        <row r="45">
          <cell r="C45">
            <v>5.9</v>
          </cell>
          <cell r="D45">
            <v>3688</v>
          </cell>
          <cell r="E45">
            <v>2.5</v>
          </cell>
          <cell r="F45">
            <v>12</v>
          </cell>
        </row>
        <row r="46">
          <cell r="C46">
            <v>6.8</v>
          </cell>
          <cell r="D46">
            <v>3846</v>
          </cell>
          <cell r="E46">
            <v>3.7</v>
          </cell>
          <cell r="F46">
            <v>21</v>
          </cell>
        </row>
        <row r="47">
          <cell r="C47">
            <v>4.4000000000000004</v>
          </cell>
          <cell r="D47">
            <v>3430</v>
          </cell>
          <cell r="E47">
            <v>4.3</v>
          </cell>
          <cell r="F47">
            <v>36</v>
          </cell>
        </row>
        <row r="48">
          <cell r="C48">
            <v>3.2</v>
          </cell>
          <cell r="D48">
            <v>3574</v>
          </cell>
          <cell r="E48">
            <v>4.5</v>
          </cell>
          <cell r="F48">
            <v>35</v>
          </cell>
        </row>
        <row r="49">
          <cell r="C49">
            <v>6.1</v>
          </cell>
          <cell r="D49">
            <v>3893</v>
          </cell>
          <cell r="E49">
            <v>3.3</v>
          </cell>
          <cell r="F49">
            <v>18</v>
          </cell>
        </row>
        <row r="50">
          <cell r="C50">
            <v>1.9</v>
          </cell>
          <cell r="D50">
            <v>3114</v>
          </cell>
          <cell r="E50">
            <v>3.5</v>
          </cell>
          <cell r="F50">
            <v>15</v>
          </cell>
        </row>
        <row r="51">
          <cell r="C51">
            <v>7.6</v>
          </cell>
          <cell r="D51">
            <v>4553</v>
          </cell>
          <cell r="E51">
            <v>3.6</v>
          </cell>
          <cell r="F51">
            <v>24</v>
          </cell>
        </row>
        <row r="52">
          <cell r="C52">
            <v>4.3</v>
          </cell>
          <cell r="D52">
            <v>3405</v>
          </cell>
          <cell r="E52">
            <v>4.2</v>
          </cell>
          <cell r="F52">
            <v>38</v>
          </cell>
        </row>
        <row r="53">
          <cell r="C53">
            <v>0.9</v>
          </cell>
          <cell r="D53">
            <v>3679</v>
          </cell>
          <cell r="E53">
            <v>3.6</v>
          </cell>
          <cell r="F53">
            <v>26</v>
          </cell>
        </row>
        <row r="54">
          <cell r="C54">
            <v>9.6</v>
          </cell>
          <cell r="D54">
            <v>3930</v>
          </cell>
          <cell r="E54">
            <v>2.2999999999999998</v>
          </cell>
          <cell r="F54">
            <v>7</v>
          </cell>
        </row>
        <row r="55">
          <cell r="C55">
            <v>0.9</v>
          </cell>
          <cell r="D55">
            <v>3845</v>
          </cell>
          <cell r="E55">
            <v>3.2</v>
          </cell>
          <cell r="F55">
            <v>17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Y%201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motoye" refreshedDate="46143.862482175929" createdVersion="8" refreshedVersion="8" minRefreshableVersion="3" recordCount="50" xr:uid="{4A21E701-5C2D-41B4-A86A-B7D06521F272}">
  <cacheSource type="worksheet">
    <worksheetSource name="Day10Data" r:id="rId2"/>
  </cacheSource>
  <cacheFields count="8">
    <cacheField name="Employee_ID" numFmtId="0">
      <sharedItems/>
    </cacheField>
    <cacheField name="Department" numFmtId="0">
      <sharedItems count="6">
        <s v="IT"/>
        <s v="Finance"/>
        <s v="Operations"/>
        <s v="Marketing"/>
        <s v="HR"/>
        <s v="Sales"/>
      </sharedItems>
    </cacheField>
    <cacheField name="Tenure_Years" numFmtId="164">
      <sharedItems containsSemiMixedTypes="0" containsString="0" containsNumber="1" minValue="0.6" maxValue="9.9"/>
    </cacheField>
    <cacheField name="Monthly_Salary" numFmtId="165">
      <sharedItems containsSemiMixedTypes="0" containsString="0" containsNumber="1" containsInteger="1" minValue="2647" maxValue="7800"/>
    </cacheField>
    <cacheField name="Performance_Score" numFmtId="164">
      <sharedItems containsSemiMixedTypes="0" containsString="0" containsNumber="1" minValue="2.2999999999999998" maxValue="4.8"/>
    </cacheField>
    <cacheField name="Training_Hours" numFmtId="0">
      <sharedItems containsSemiMixedTypes="0" containsString="0" containsNumber="1" containsInteger="1" minValue="7" maxValue="40"/>
    </cacheField>
    <cacheField name="Absent_Days" numFmtId="0">
      <sharedItems containsSemiMixedTypes="0" containsString="0" containsNumber="1" containsInteger="1" minValue="0" maxValue="18"/>
    </cacheField>
    <cacheField name="Projects_Completed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M001"/>
    <x v="0"/>
    <n v="5.0999999999999996"/>
    <n v="4084"/>
    <n v="3.6"/>
    <n v="23"/>
    <n v="4"/>
    <n v="5"/>
  </r>
  <r>
    <s v="M002"/>
    <x v="1"/>
    <n v="3.7"/>
    <n v="3851"/>
    <n v="4.7"/>
    <n v="40"/>
    <n v="2"/>
    <n v="6"/>
  </r>
  <r>
    <s v="M003"/>
    <x v="2"/>
    <n v="7.1"/>
    <n v="3463"/>
    <n v="3.7"/>
    <n v="19"/>
    <n v="6"/>
    <n v="7"/>
  </r>
  <r>
    <s v="M004"/>
    <x v="0"/>
    <n v="4.9000000000000004"/>
    <n v="3969"/>
    <n v="3"/>
    <n v="19"/>
    <n v="6"/>
    <n v="7"/>
  </r>
  <r>
    <s v="M005"/>
    <x v="3"/>
    <n v="0.7"/>
    <n v="3284"/>
    <n v="3.9"/>
    <n v="30"/>
    <n v="5"/>
    <n v="4"/>
  </r>
  <r>
    <s v="M006"/>
    <x v="2"/>
    <n v="8.6"/>
    <n v="3770"/>
    <n v="3.9"/>
    <n v="32"/>
    <n v="8"/>
    <n v="11"/>
  </r>
  <r>
    <s v="M007"/>
    <x v="4"/>
    <n v="5.0999999999999996"/>
    <n v="3101"/>
    <n v="4"/>
    <n v="33"/>
    <n v="6"/>
    <n v="7"/>
  </r>
  <r>
    <s v="M008"/>
    <x v="3"/>
    <n v="7"/>
    <n v="7800"/>
    <n v="2.8"/>
    <n v="16"/>
    <n v="2"/>
    <n v="8"/>
  </r>
  <r>
    <s v="M009"/>
    <x v="0"/>
    <n v="0.8"/>
    <n v="3647"/>
    <n v="3.1"/>
    <n v="7"/>
    <n v="6"/>
    <n v="1"/>
  </r>
  <r>
    <s v="M010"/>
    <x v="2"/>
    <n v="2.2000000000000002"/>
    <n v="2647"/>
    <n v="4"/>
    <n v="30"/>
    <n v="7"/>
    <n v="5"/>
  </r>
  <r>
    <s v="M011"/>
    <x v="1"/>
    <n v="7.7"/>
    <n v="4068"/>
    <n v="3.3"/>
    <n v="23"/>
    <n v="6"/>
    <n v="8"/>
  </r>
  <r>
    <s v="M012"/>
    <x v="5"/>
    <n v="5"/>
    <n v="3533"/>
    <n v="4.8"/>
    <n v="40"/>
    <n v="5"/>
    <n v="7"/>
  </r>
  <r>
    <s v="M013"/>
    <x v="3"/>
    <n v="1.2"/>
    <n v="3384"/>
    <n v="2.5"/>
    <n v="8"/>
    <n v="3"/>
    <n v="1"/>
  </r>
  <r>
    <s v="M014"/>
    <x v="5"/>
    <n v="6.4"/>
    <n v="3440"/>
    <n v="3.1"/>
    <n v="14"/>
    <n v="1"/>
    <n v="8"/>
  </r>
  <r>
    <s v="M015"/>
    <x v="4"/>
    <n v="4.9000000000000004"/>
    <n v="3069"/>
    <n v="4.0999999999999996"/>
    <n v="29"/>
    <n v="9"/>
    <n v="4"/>
  </r>
  <r>
    <s v="M016"/>
    <x v="4"/>
    <n v="9.6999999999999993"/>
    <n v="3569"/>
    <n v="2.2999999999999998"/>
    <n v="7"/>
    <n v="9"/>
    <n v="8"/>
  </r>
  <r>
    <s v="M017"/>
    <x v="2"/>
    <n v="9.4"/>
    <n v="3479"/>
    <n v="2.2999999999999998"/>
    <n v="10"/>
    <n v="10"/>
    <n v="6"/>
  </r>
  <r>
    <s v="M018"/>
    <x v="5"/>
    <n v="7.1"/>
    <n v="3556"/>
    <n v="2.7"/>
    <n v="13"/>
    <n v="9"/>
    <n v="4"/>
  </r>
  <r>
    <s v="M019"/>
    <x v="1"/>
    <n v="5.6"/>
    <n v="3960"/>
    <n v="4.2"/>
    <n v="29"/>
    <n v="18"/>
    <n v="7"/>
  </r>
  <r>
    <s v="M020"/>
    <x v="5"/>
    <n v="8.6"/>
    <n v="4003"/>
    <n v="4.5999999999999996"/>
    <n v="37"/>
    <n v="5"/>
    <n v="11"/>
  </r>
  <r>
    <s v="M021"/>
    <x v="3"/>
    <n v="2"/>
    <n v="3080"/>
    <n v="3.9"/>
    <n v="39"/>
    <n v="4"/>
    <n v="8"/>
  </r>
  <r>
    <s v="M022"/>
    <x v="0"/>
    <n v="7.9"/>
    <n v="4536"/>
    <n v="3.7"/>
    <n v="33"/>
    <n v="9"/>
    <n v="9"/>
  </r>
  <r>
    <s v="M023"/>
    <x v="1"/>
    <n v="8.6"/>
    <n v="4407"/>
    <n v="3.1"/>
    <n v="11"/>
    <n v="7"/>
    <n v="6"/>
  </r>
  <r>
    <s v="M024"/>
    <x v="2"/>
    <n v="5.9"/>
    <n v="3300"/>
    <n v="4"/>
    <n v="30"/>
    <n v="7"/>
    <n v="7"/>
  </r>
  <r>
    <s v="M025"/>
    <x v="4"/>
    <n v="5.0999999999999996"/>
    <n v="3143"/>
    <n v="3.6"/>
    <n v="22"/>
    <n v="9"/>
    <n v="6"/>
  </r>
  <r>
    <s v="M026"/>
    <x v="0"/>
    <n v="0.6"/>
    <n v="3907"/>
    <n v="3.6"/>
    <n v="18"/>
    <n v="6"/>
    <n v="3"/>
  </r>
  <r>
    <s v="M027"/>
    <x v="0"/>
    <n v="7.7"/>
    <n v="4627"/>
    <n v="4"/>
    <n v="36"/>
    <n v="7"/>
    <n v="10"/>
  </r>
  <r>
    <s v="M028"/>
    <x v="5"/>
    <n v="1.4"/>
    <n v="2831"/>
    <n v="3.7"/>
    <n v="31"/>
    <n v="4"/>
    <n v="6"/>
  </r>
  <r>
    <s v="M029"/>
    <x v="1"/>
    <n v="5"/>
    <n v="3821"/>
    <n v="3.8"/>
    <n v="28"/>
    <n v="8"/>
    <n v="6"/>
  </r>
  <r>
    <s v="M030"/>
    <x v="1"/>
    <n v="7.2"/>
    <n v="3952"/>
    <n v="3.8"/>
    <n v="25"/>
    <n v="1"/>
    <n v="7"/>
  </r>
  <r>
    <s v="M031"/>
    <x v="1"/>
    <n v="1.6"/>
    <n v="3416"/>
    <n v="3.5"/>
    <n v="17"/>
    <n v="7"/>
    <n v="3"/>
  </r>
  <r>
    <s v="M032"/>
    <x v="3"/>
    <n v="6.1"/>
    <n v="3871"/>
    <n v="4.2"/>
    <n v="39"/>
    <n v="1"/>
    <n v="7"/>
  </r>
  <r>
    <s v="M033"/>
    <x v="1"/>
    <n v="2.7"/>
    <n v="3365"/>
    <n v="4"/>
    <n v="25"/>
    <n v="8"/>
    <n v="3"/>
  </r>
  <r>
    <s v="M034"/>
    <x v="1"/>
    <n v="0.9"/>
    <n v="3085"/>
    <n v="2.2999999999999998"/>
    <n v="24"/>
    <n v="2"/>
    <n v="4"/>
  </r>
  <r>
    <s v="M035"/>
    <x v="5"/>
    <n v="8.8000000000000007"/>
    <n v="3899"/>
    <n v="3.6"/>
    <n v="24"/>
    <n v="7"/>
    <n v="9"/>
  </r>
  <r>
    <s v="M036"/>
    <x v="4"/>
    <n v="9.6999999999999993"/>
    <n v="3643"/>
    <n v="4.5"/>
    <n v="36"/>
    <n v="1"/>
    <n v="12"/>
  </r>
  <r>
    <s v="M037"/>
    <x v="2"/>
    <n v="1.2"/>
    <n v="2716"/>
    <n v="3.1"/>
    <n v="9"/>
    <n v="9"/>
    <n v="1"/>
  </r>
  <r>
    <s v="M038"/>
    <x v="5"/>
    <n v="9.9"/>
    <n v="3798"/>
    <n v="3.9"/>
    <n v="32"/>
    <n v="9"/>
    <n v="9"/>
  </r>
  <r>
    <s v="M039"/>
    <x v="0"/>
    <n v="4.0999999999999996"/>
    <n v="4307"/>
    <n v="4.2"/>
    <n v="34"/>
    <n v="9"/>
    <n v="7"/>
  </r>
  <r>
    <s v="M040"/>
    <x v="1"/>
    <n v="5.9"/>
    <n v="3688"/>
    <n v="2.5"/>
    <n v="12"/>
    <n v="3"/>
    <n v="4"/>
  </r>
  <r>
    <s v="M041"/>
    <x v="1"/>
    <n v="6.8"/>
    <n v="3846"/>
    <n v="3.7"/>
    <n v="21"/>
    <n v="1"/>
    <n v="6"/>
  </r>
  <r>
    <s v="M042"/>
    <x v="5"/>
    <n v="4.4000000000000004"/>
    <n v="3430"/>
    <n v="4.3"/>
    <n v="36"/>
    <n v="3"/>
    <n v="7"/>
  </r>
  <r>
    <s v="M043"/>
    <x v="3"/>
    <n v="3.2"/>
    <n v="3574"/>
    <n v="4.5"/>
    <n v="35"/>
    <n v="3"/>
    <n v="6"/>
  </r>
  <r>
    <s v="M044"/>
    <x v="3"/>
    <n v="6.1"/>
    <n v="3893"/>
    <n v="3.3"/>
    <n v="18"/>
    <n v="8"/>
    <n v="5"/>
  </r>
  <r>
    <s v="M045"/>
    <x v="3"/>
    <n v="1.9"/>
    <n v="3114"/>
    <n v="3.5"/>
    <n v="15"/>
    <n v="2"/>
    <n v="3"/>
  </r>
  <r>
    <s v="M046"/>
    <x v="0"/>
    <n v="7.6"/>
    <n v="4553"/>
    <n v="3.6"/>
    <n v="24"/>
    <n v="7"/>
    <n v="8"/>
  </r>
  <r>
    <s v="M047"/>
    <x v="3"/>
    <n v="4.3"/>
    <n v="3405"/>
    <n v="4.2"/>
    <n v="38"/>
    <n v="7"/>
    <n v="5"/>
  </r>
  <r>
    <s v="M048"/>
    <x v="0"/>
    <n v="0.9"/>
    <n v="3679"/>
    <n v="3.6"/>
    <n v="26"/>
    <n v="0"/>
    <n v="1"/>
  </r>
  <r>
    <s v="M049"/>
    <x v="4"/>
    <n v="9.6"/>
    <n v="3930"/>
    <n v="2.2999999999999998"/>
    <n v="7"/>
    <n v="10"/>
    <n v="7"/>
  </r>
  <r>
    <s v="M050"/>
    <x v="0"/>
    <n v="0.9"/>
    <n v="3845"/>
    <n v="3.2"/>
    <n v="17"/>
    <n v="1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05091-4100-41B4-A963-3C5654E23630}" name="PivotTable2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L72:N79" firstHeaderRow="0" firstDataRow="1" firstDataCol="1"/>
  <pivotFields count="8"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numFmtId="164" showAll="0"/>
    <pivotField numFmtId="165" showAll="0"/>
    <pivotField dataField="1" numFmtId="164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raining_Hours" fld="5" subtotal="average" baseField="1" baseItem="0"/>
    <dataField name="Average of Performance_Score" fld="4" subtotal="average" baseField="1" baseItem="0" numFmtId="164"/>
  </dataFields>
  <formats count="5">
    <format dxfId="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F323E-8C89-465B-AB62-460D533E6B42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2:O59" firstHeaderRow="0" firstDataRow="1" firstDataCol="1"/>
  <pivotFields count="8"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numFmtId="164" showAll="0"/>
    <pivotField numFmtId="165" showAll="0"/>
    <pivotField dataField="1" numFmtId="164" showAll="0"/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erformance_Score" fld="4" subtotal="average" baseField="1" baseItem="0" numFmtId="164"/>
    <dataField name="Average of Projects_Completed" fld="7" subtotal="average" baseField="1" baseItem="0"/>
    <dataField name="Average of Absent_Days" fld="6" subtotal="average" baseField="1" baseItem="0"/>
  </dataFields>
  <formats count="4">
    <format dxfId="5">
      <pivotArea collapsedLevelsAreSubtotals="1" fieldPosition="0">
        <references count="2">
          <reference field="4294967294" count="1" selected="0">
            <x v="1"/>
          </reference>
          <reference field="1" count="2">
            <x v="0"/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" count="2">
            <x v="3"/>
            <x v="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1" count="2">
            <x v="0"/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1" count="2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B5D2-200F-4B76-8B6F-83E0CEC31217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L62:M69" firstHeaderRow="1" firstDataRow="1" firstDataCol="1"/>
  <pivotFields count="8"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numFmtId="164" showAll="0"/>
    <pivotField dataField="1" numFmtId="165" showAll="0"/>
    <pivotField numFmtId="16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onthly_Salary" fld="3" subtotal="average" baseField="1" baseItem="0" numFmtId="165"/>
  </dataFields>
  <chartFormats count="14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5C4DB-41FA-4ABE-8A5B-A2B158A6894F}" name="Day10Data" displayName="Day10Data" ref="A5:H55">
  <autoFilter ref="A5:H55" xr:uid="{00000000-0009-0000-0100-00000A000000}"/>
  <tableColumns count="8">
    <tableColumn id="1" xr3:uid="{9054B541-42A0-4CAC-B48F-DCCC95053521}" name="Employee_ID"/>
    <tableColumn id="2" xr3:uid="{E85D6F9F-1B1F-43B1-96AD-3ACAE5ECE118}" name="Department"/>
    <tableColumn id="3" xr3:uid="{857E09EF-00D5-4601-8C84-877E0F2EF4F9}" name="Tenure_Years"/>
    <tableColumn id="4" xr3:uid="{9F05C176-F4A2-447B-8BFF-375E7973DFA5}" name="Monthly_Salary"/>
    <tableColumn id="5" xr3:uid="{7BCE21E9-677A-4B1E-85B0-400F03B5BF82}" name="Performance_Score"/>
    <tableColumn id="6" xr3:uid="{E5D4589D-2316-40B2-85C5-8D1529C5C9C4}" name="Training_Hours"/>
    <tableColumn id="7" xr3:uid="{7F421CE4-752E-47E5-BC16-22C4B4A1D4A2}" name="Absent_Days"/>
    <tableColumn id="8" xr3:uid="{E698922D-69CF-400A-877E-68BF82B48308}" name="Projects_Comple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9B8D-6B76-4F0B-B9C9-CD13DAB7691F}">
  <dimension ref="A1:R151"/>
  <sheetViews>
    <sheetView tabSelected="1" topLeftCell="E1" workbookViewId="0">
      <pane ySplit="5" topLeftCell="A73" activePane="bottomLeft" state="frozen"/>
      <selection pane="bottomLeft" activeCell="L30" sqref="L30"/>
    </sheetView>
  </sheetViews>
  <sheetFormatPr defaultRowHeight="14.4" x14ac:dyDescent="0.3"/>
  <cols>
    <col min="1" max="1" width="18" customWidth="1"/>
    <col min="2" max="2" width="32" customWidth="1"/>
    <col min="3" max="3" width="16.77734375" bestFit="1" customWidth="1"/>
    <col min="4" max="4" width="18.88671875" bestFit="1" customWidth="1"/>
    <col min="5" max="5" width="22.21875" bestFit="1" customWidth="1"/>
    <col min="6" max="6" width="18.21875" bestFit="1" customWidth="1"/>
    <col min="7" max="7" width="16.33203125" bestFit="1" customWidth="1"/>
    <col min="8" max="8" width="22.6640625" bestFit="1" customWidth="1"/>
    <col min="12" max="12" width="18.77734375" customWidth="1"/>
    <col min="13" max="13" width="23.5546875" bestFit="1" customWidth="1"/>
    <col min="14" max="14" width="38.44140625" customWidth="1"/>
    <col min="15" max="15" width="21.77734375" bestFit="1" customWidth="1"/>
    <col min="16" max="16" width="20" bestFit="1" customWidth="1"/>
  </cols>
  <sheetData>
    <row r="1" spans="1:18" ht="19.95" customHeight="1" x14ac:dyDescent="0.4">
      <c r="A1" s="1" t="s">
        <v>0</v>
      </c>
    </row>
    <row r="2" spans="1:18" ht="28.8" x14ac:dyDescent="0.3">
      <c r="A2" s="2" t="s">
        <v>1</v>
      </c>
      <c r="B2" s="3" t="s">
        <v>2</v>
      </c>
    </row>
    <row r="3" spans="1:18" ht="57.6" x14ac:dyDescent="0.3">
      <c r="A3" s="2" t="s">
        <v>3</v>
      </c>
      <c r="B3" s="3" t="s">
        <v>4</v>
      </c>
    </row>
    <row r="4" spans="1:18" ht="19.95" customHeight="1" x14ac:dyDescent="0.3"/>
    <row r="5" spans="1:18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L5" s="5" t="s">
        <v>13</v>
      </c>
      <c r="M5" s="6"/>
      <c r="N5" s="6"/>
      <c r="O5" s="6"/>
      <c r="P5" s="6"/>
      <c r="Q5" s="6"/>
      <c r="R5" s="6"/>
    </row>
    <row r="6" spans="1:18" x14ac:dyDescent="0.3">
      <c r="A6" t="s">
        <v>14</v>
      </c>
      <c r="B6" t="s">
        <v>15</v>
      </c>
      <c r="C6" s="7">
        <v>5.0999999999999996</v>
      </c>
      <c r="D6" s="8">
        <v>4084</v>
      </c>
      <c r="E6" s="7">
        <v>3.6</v>
      </c>
      <c r="F6">
        <v>23</v>
      </c>
      <c r="G6">
        <v>4</v>
      </c>
      <c r="H6">
        <v>5</v>
      </c>
      <c r="L6" s="5" t="s">
        <v>16</v>
      </c>
      <c r="M6" s="6"/>
      <c r="N6" s="6"/>
      <c r="O6" s="6"/>
      <c r="P6" s="6"/>
      <c r="Q6" s="6"/>
      <c r="R6" s="6"/>
    </row>
    <row r="7" spans="1:18" x14ac:dyDescent="0.3">
      <c r="A7" t="s">
        <v>17</v>
      </c>
      <c r="B7" t="s">
        <v>18</v>
      </c>
      <c r="C7" s="7">
        <v>3.7</v>
      </c>
      <c r="D7" s="8">
        <v>3851</v>
      </c>
      <c r="E7" s="7">
        <v>4.7</v>
      </c>
      <c r="F7">
        <v>40</v>
      </c>
      <c r="G7">
        <v>2</v>
      </c>
      <c r="H7">
        <v>6</v>
      </c>
      <c r="L7" s="9" t="s">
        <v>19</v>
      </c>
      <c r="M7" s="9" t="s">
        <v>20</v>
      </c>
      <c r="N7" s="9" t="s">
        <v>21</v>
      </c>
      <c r="O7" s="6"/>
      <c r="P7" s="6"/>
      <c r="Q7" s="6"/>
      <c r="R7" s="6"/>
    </row>
    <row r="8" spans="1:18" x14ac:dyDescent="0.3">
      <c r="A8" t="s">
        <v>22</v>
      </c>
      <c r="B8" t="s">
        <v>23</v>
      </c>
      <c r="C8" s="7">
        <v>7.1</v>
      </c>
      <c r="D8" s="8">
        <v>3463</v>
      </c>
      <c r="E8" s="7">
        <v>3.7</v>
      </c>
      <c r="F8">
        <v>19</v>
      </c>
      <c r="G8">
        <v>6</v>
      </c>
      <c r="H8">
        <v>7</v>
      </c>
      <c r="L8" s="9" t="s">
        <v>5</v>
      </c>
      <c r="M8" s="9" t="s">
        <v>24</v>
      </c>
      <c r="N8" s="9" t="s">
        <v>25</v>
      </c>
      <c r="O8" s="6"/>
      <c r="P8" s="6"/>
      <c r="Q8" s="6"/>
      <c r="R8" s="6"/>
    </row>
    <row r="9" spans="1:18" x14ac:dyDescent="0.3">
      <c r="A9" t="s">
        <v>26</v>
      </c>
      <c r="B9" t="s">
        <v>15</v>
      </c>
      <c r="C9" s="7">
        <v>4.9000000000000004</v>
      </c>
      <c r="D9" s="8">
        <v>3969</v>
      </c>
      <c r="E9" s="7">
        <v>3</v>
      </c>
      <c r="F9">
        <v>19</v>
      </c>
      <c r="G9">
        <v>6</v>
      </c>
      <c r="H9">
        <v>7</v>
      </c>
      <c r="L9" s="9" t="s">
        <v>6</v>
      </c>
      <c r="M9" s="9" t="s">
        <v>27</v>
      </c>
      <c r="N9" s="9" t="s">
        <v>28</v>
      </c>
      <c r="O9" s="6"/>
      <c r="P9" s="6"/>
      <c r="Q9" s="6"/>
      <c r="R9" s="6"/>
    </row>
    <row r="10" spans="1:18" x14ac:dyDescent="0.3">
      <c r="A10" t="s">
        <v>29</v>
      </c>
      <c r="B10" t="s">
        <v>30</v>
      </c>
      <c r="C10" s="7">
        <v>0.7</v>
      </c>
      <c r="D10" s="8">
        <v>3284</v>
      </c>
      <c r="E10" s="7">
        <v>3.9</v>
      </c>
      <c r="F10">
        <v>30</v>
      </c>
      <c r="G10">
        <v>5</v>
      </c>
      <c r="H10">
        <v>4</v>
      </c>
      <c r="L10" s="9" t="s">
        <v>7</v>
      </c>
      <c r="M10" s="9" t="s">
        <v>31</v>
      </c>
      <c r="N10" s="9" t="s">
        <v>32</v>
      </c>
      <c r="O10" s="6"/>
      <c r="P10" s="6"/>
      <c r="Q10" s="6"/>
      <c r="R10" s="6"/>
    </row>
    <row r="11" spans="1:18" x14ac:dyDescent="0.3">
      <c r="A11" t="s">
        <v>33</v>
      </c>
      <c r="B11" t="s">
        <v>23</v>
      </c>
      <c r="C11" s="7">
        <v>8.6</v>
      </c>
      <c r="D11" s="8">
        <v>3770</v>
      </c>
      <c r="E11" s="7">
        <v>3.9</v>
      </c>
      <c r="F11">
        <v>32</v>
      </c>
      <c r="G11">
        <v>8</v>
      </c>
      <c r="H11">
        <v>11</v>
      </c>
      <c r="L11" s="9" t="s">
        <v>34</v>
      </c>
      <c r="M11" s="9" t="s">
        <v>31</v>
      </c>
      <c r="N11" s="9"/>
      <c r="O11" s="6"/>
      <c r="P11" s="6"/>
      <c r="Q11" s="6"/>
      <c r="R11" s="6"/>
    </row>
    <row r="12" spans="1:18" x14ac:dyDescent="0.3">
      <c r="A12" t="s">
        <v>35</v>
      </c>
      <c r="B12" t="s">
        <v>36</v>
      </c>
      <c r="C12" s="7">
        <v>5.0999999999999996</v>
      </c>
      <c r="D12" s="8">
        <v>3101</v>
      </c>
      <c r="E12" s="7">
        <v>4</v>
      </c>
      <c r="F12">
        <v>33</v>
      </c>
      <c r="G12">
        <v>6</v>
      </c>
      <c r="H12">
        <v>7</v>
      </c>
      <c r="L12" s="9" t="s">
        <v>9</v>
      </c>
      <c r="M12" s="9" t="s">
        <v>31</v>
      </c>
      <c r="N12" s="9" t="s">
        <v>37</v>
      </c>
      <c r="O12" s="6"/>
      <c r="P12" s="6"/>
      <c r="Q12" s="6"/>
      <c r="R12" s="6"/>
    </row>
    <row r="13" spans="1:18" x14ac:dyDescent="0.3">
      <c r="A13" t="s">
        <v>38</v>
      </c>
      <c r="B13" t="s">
        <v>30</v>
      </c>
      <c r="C13" s="7">
        <v>7</v>
      </c>
      <c r="D13" s="8">
        <v>7800</v>
      </c>
      <c r="E13" s="7">
        <v>2.8</v>
      </c>
      <c r="F13">
        <v>16</v>
      </c>
      <c r="G13">
        <v>2</v>
      </c>
      <c r="H13">
        <v>8</v>
      </c>
      <c r="L13" s="9" t="s">
        <v>10</v>
      </c>
      <c r="M13" s="9" t="s">
        <v>39</v>
      </c>
      <c r="N13" s="9" t="s">
        <v>40</v>
      </c>
      <c r="O13" s="6"/>
      <c r="P13" s="6"/>
      <c r="Q13" s="6"/>
      <c r="R13" s="6"/>
    </row>
    <row r="14" spans="1:18" x14ac:dyDescent="0.3">
      <c r="A14" t="s">
        <v>41</v>
      </c>
      <c r="B14" t="s">
        <v>15</v>
      </c>
      <c r="C14" s="7">
        <v>0.8</v>
      </c>
      <c r="D14" s="8">
        <v>3647</v>
      </c>
      <c r="E14" s="7">
        <v>3.1</v>
      </c>
      <c r="F14">
        <v>7</v>
      </c>
      <c r="G14">
        <v>6</v>
      </c>
      <c r="H14">
        <v>1</v>
      </c>
      <c r="L14" s="9" t="s">
        <v>11</v>
      </c>
      <c r="M14" s="9" t="s">
        <v>39</v>
      </c>
      <c r="N14" s="9" t="s">
        <v>40</v>
      </c>
      <c r="O14" s="6"/>
      <c r="P14" s="6"/>
      <c r="Q14" s="6"/>
      <c r="R14" s="6"/>
    </row>
    <row r="15" spans="1:18" x14ac:dyDescent="0.3">
      <c r="A15" t="s">
        <v>42</v>
      </c>
      <c r="B15" t="s">
        <v>23</v>
      </c>
      <c r="C15" s="7">
        <v>2.2000000000000002</v>
      </c>
      <c r="D15" s="8">
        <v>2647</v>
      </c>
      <c r="E15" s="7">
        <v>4</v>
      </c>
      <c r="F15">
        <v>30</v>
      </c>
      <c r="G15">
        <v>7</v>
      </c>
      <c r="H15">
        <v>5</v>
      </c>
      <c r="L15" s="9" t="s">
        <v>12</v>
      </c>
      <c r="M15" s="9" t="s">
        <v>39</v>
      </c>
      <c r="N15" s="9" t="s">
        <v>40</v>
      </c>
      <c r="O15" s="6"/>
      <c r="P15" s="6"/>
      <c r="Q15" s="6"/>
      <c r="R15" s="6"/>
    </row>
    <row r="16" spans="1:18" x14ac:dyDescent="0.3">
      <c r="A16" t="s">
        <v>43</v>
      </c>
      <c r="B16" t="s">
        <v>18</v>
      </c>
      <c r="C16" s="7">
        <v>7.7</v>
      </c>
      <c r="D16" s="8">
        <v>4068</v>
      </c>
      <c r="E16" s="7">
        <v>3.3</v>
      </c>
      <c r="F16">
        <v>23</v>
      </c>
      <c r="G16">
        <v>6</v>
      </c>
      <c r="H16">
        <v>8</v>
      </c>
      <c r="L16" s="6"/>
      <c r="M16" s="6"/>
      <c r="N16" s="6"/>
      <c r="O16" s="6"/>
      <c r="P16" s="6"/>
      <c r="Q16" s="6"/>
      <c r="R16" s="6"/>
    </row>
    <row r="17" spans="1:18" x14ac:dyDescent="0.3">
      <c r="A17" t="s">
        <v>44</v>
      </c>
      <c r="B17" t="s">
        <v>45</v>
      </c>
      <c r="C17" s="7">
        <v>5</v>
      </c>
      <c r="D17" s="8">
        <v>3533</v>
      </c>
      <c r="E17" s="7">
        <v>4.8</v>
      </c>
      <c r="F17">
        <v>40</v>
      </c>
      <c r="G17">
        <v>5</v>
      </c>
      <c r="H17">
        <v>7</v>
      </c>
      <c r="L17" s="5" t="s">
        <v>46</v>
      </c>
      <c r="M17" s="6"/>
      <c r="N17" s="6"/>
      <c r="O17" s="6"/>
      <c r="P17" s="6"/>
      <c r="Q17" s="6"/>
      <c r="R17" s="6"/>
    </row>
    <row r="18" spans="1:18" x14ac:dyDescent="0.3">
      <c r="A18" t="s">
        <v>47</v>
      </c>
      <c r="B18" t="s">
        <v>30</v>
      </c>
      <c r="C18" s="7">
        <v>1.2</v>
      </c>
      <c r="D18" s="8">
        <v>3384</v>
      </c>
      <c r="E18" s="7">
        <v>2.5</v>
      </c>
      <c r="F18">
        <v>8</v>
      </c>
      <c r="G18">
        <v>3</v>
      </c>
      <c r="H18">
        <v>1</v>
      </c>
      <c r="L18" s="5" t="s">
        <v>48</v>
      </c>
      <c r="M18" s="6"/>
      <c r="N18" s="6"/>
      <c r="O18" s="6"/>
      <c r="P18" s="6"/>
      <c r="Q18" s="6"/>
      <c r="R18" s="6"/>
    </row>
    <row r="19" spans="1:18" x14ac:dyDescent="0.3">
      <c r="A19" t="s">
        <v>49</v>
      </c>
      <c r="B19" t="s">
        <v>45</v>
      </c>
      <c r="C19" s="7">
        <v>6.4</v>
      </c>
      <c r="D19" s="8">
        <v>3440</v>
      </c>
      <c r="E19" s="7">
        <v>3.1</v>
      </c>
      <c r="F19">
        <v>14</v>
      </c>
      <c r="G19">
        <v>1</v>
      </c>
      <c r="H19">
        <v>8</v>
      </c>
      <c r="L19" s="10" t="s">
        <v>50</v>
      </c>
      <c r="M19" s="10" t="s">
        <v>51</v>
      </c>
      <c r="N19" s="10" t="s">
        <v>52</v>
      </c>
      <c r="O19" s="10" t="s">
        <v>53</v>
      </c>
      <c r="P19" s="10" t="s">
        <v>54</v>
      </c>
      <c r="Q19" s="6"/>
      <c r="R19" s="6"/>
    </row>
    <row r="20" spans="1:18" x14ac:dyDescent="0.3">
      <c r="A20" t="s">
        <v>55</v>
      </c>
      <c r="B20" t="s">
        <v>36</v>
      </c>
      <c r="C20" s="7">
        <v>4.9000000000000004</v>
      </c>
      <c r="D20" s="8">
        <v>3069</v>
      </c>
      <c r="E20" s="7">
        <v>4.0999999999999996</v>
      </c>
      <c r="F20">
        <v>29</v>
      </c>
      <c r="G20">
        <v>9</v>
      </c>
      <c r="H20">
        <v>4</v>
      </c>
      <c r="L20" s="11">
        <f>AVERAGE(Day10Data[Monthly_Salary])</f>
        <v>3726.76</v>
      </c>
      <c r="M20" s="10">
        <f>AVERAGE(Day10Data[Performance_Score])</f>
        <v>3.5959999999999992</v>
      </c>
      <c r="N20" s="10">
        <f>AVERAGE(Day10Data[Training_Hours])</f>
        <v>24.42</v>
      </c>
      <c r="O20" s="10">
        <f>AVERAGE(Day10Data[Absent_Days])</f>
        <v>5.92</v>
      </c>
      <c r="P20" s="10">
        <f>AVERAGE(Day10Data[Projects_Completed])</f>
        <v>6.06</v>
      </c>
      <c r="Q20" s="6"/>
      <c r="R20" s="6"/>
    </row>
    <row r="21" spans="1:18" x14ac:dyDescent="0.3">
      <c r="A21" t="s">
        <v>56</v>
      </c>
      <c r="B21" t="s">
        <v>36</v>
      </c>
      <c r="C21" s="7">
        <v>9.6999999999999993</v>
      </c>
      <c r="D21" s="8">
        <v>3569</v>
      </c>
      <c r="E21" s="7">
        <v>2.2999999999999998</v>
      </c>
      <c r="F21">
        <v>7</v>
      </c>
      <c r="G21">
        <v>9</v>
      </c>
      <c r="H21">
        <v>8</v>
      </c>
      <c r="L21" s="6"/>
      <c r="M21" s="6"/>
      <c r="N21" s="6"/>
      <c r="O21" s="6"/>
      <c r="P21" s="6"/>
      <c r="Q21" s="6"/>
      <c r="R21" s="6"/>
    </row>
    <row r="22" spans="1:18" x14ac:dyDescent="0.3">
      <c r="A22" t="s">
        <v>57</v>
      </c>
      <c r="B22" t="s">
        <v>23</v>
      </c>
      <c r="C22" s="7">
        <v>9.4</v>
      </c>
      <c r="D22" s="8">
        <v>3479</v>
      </c>
      <c r="E22" s="7">
        <v>2.2999999999999998</v>
      </c>
      <c r="F22">
        <v>10</v>
      </c>
      <c r="G22">
        <v>10</v>
      </c>
      <c r="H22">
        <v>6</v>
      </c>
      <c r="L22" s="5" t="s">
        <v>58</v>
      </c>
      <c r="M22" s="6"/>
      <c r="N22" s="6"/>
      <c r="O22" s="6"/>
      <c r="P22" s="6"/>
      <c r="Q22" s="6"/>
      <c r="R22" s="6"/>
    </row>
    <row r="23" spans="1:18" x14ac:dyDescent="0.3">
      <c r="A23" t="s">
        <v>59</v>
      </c>
      <c r="B23" t="s">
        <v>45</v>
      </c>
      <c r="C23" s="7">
        <v>7.1</v>
      </c>
      <c r="D23" s="8">
        <v>3556</v>
      </c>
      <c r="E23" s="7">
        <v>2.7</v>
      </c>
      <c r="F23">
        <v>13</v>
      </c>
      <c r="G23">
        <v>9</v>
      </c>
      <c r="H23">
        <v>4</v>
      </c>
      <c r="L23" s="5" t="s">
        <v>60</v>
      </c>
      <c r="M23" s="6"/>
      <c r="N23" s="6"/>
      <c r="O23" s="6"/>
      <c r="P23" s="6"/>
      <c r="Q23" s="6"/>
      <c r="R23" s="6"/>
    </row>
    <row r="24" spans="1:18" x14ac:dyDescent="0.3">
      <c r="A24" t="s">
        <v>61</v>
      </c>
      <c r="B24" t="s">
        <v>18</v>
      </c>
      <c r="C24" s="7">
        <v>5.6</v>
      </c>
      <c r="D24" s="8">
        <v>3960</v>
      </c>
      <c r="E24" s="7">
        <v>4.2</v>
      </c>
      <c r="F24">
        <v>29</v>
      </c>
      <c r="G24">
        <v>18</v>
      </c>
      <c r="H24">
        <v>7</v>
      </c>
      <c r="L24" s="10" t="s">
        <v>50</v>
      </c>
      <c r="M24" s="10" t="s">
        <v>51</v>
      </c>
      <c r="N24" s="10" t="s">
        <v>52</v>
      </c>
      <c r="O24" s="10" t="s">
        <v>53</v>
      </c>
      <c r="P24" s="10" t="s">
        <v>54</v>
      </c>
      <c r="Q24" s="6"/>
      <c r="R24" s="6"/>
    </row>
    <row r="25" spans="1:18" x14ac:dyDescent="0.3">
      <c r="A25" t="s">
        <v>62</v>
      </c>
      <c r="B25" t="s">
        <v>45</v>
      </c>
      <c r="C25" s="7">
        <v>8.6</v>
      </c>
      <c r="D25" s="8">
        <v>4003</v>
      </c>
      <c r="E25" s="7">
        <v>4.5999999999999996</v>
      </c>
      <c r="F25">
        <v>37</v>
      </c>
      <c r="G25">
        <v>5</v>
      </c>
      <c r="H25">
        <v>11</v>
      </c>
      <c r="L25" s="11">
        <f>MEDIAN(Day10Data[Monthly_Salary])</f>
        <v>3663</v>
      </c>
      <c r="M25" s="12">
        <f>MEDIAN(Day10Data[Performance_Score])</f>
        <v>3.7</v>
      </c>
      <c r="N25" s="10">
        <f>MEDIAN(Day10Data[Training_Hours])</f>
        <v>24.5</v>
      </c>
      <c r="O25" s="10">
        <f>MEDIAN(Day10Data[Absent_Days])</f>
        <v>6</v>
      </c>
      <c r="P25" s="10">
        <f>MEDIAN(Day10Data[Projects_Completed])</f>
        <v>6</v>
      </c>
      <c r="Q25" s="6"/>
      <c r="R25" s="6"/>
    </row>
    <row r="26" spans="1:18" x14ac:dyDescent="0.3">
      <c r="A26" t="s">
        <v>63</v>
      </c>
      <c r="B26" t="s">
        <v>30</v>
      </c>
      <c r="C26" s="7">
        <v>2</v>
      </c>
      <c r="D26" s="8">
        <v>3080</v>
      </c>
      <c r="E26" s="7">
        <v>3.9</v>
      </c>
      <c r="F26">
        <v>39</v>
      </c>
      <c r="G26">
        <v>4</v>
      </c>
      <c r="H26">
        <v>8</v>
      </c>
      <c r="L26" s="6"/>
      <c r="M26" s="6"/>
      <c r="N26" s="6"/>
      <c r="O26" s="6"/>
      <c r="P26" s="6"/>
      <c r="Q26" s="6"/>
      <c r="R26" s="6"/>
    </row>
    <row r="27" spans="1:18" x14ac:dyDescent="0.3">
      <c r="A27" t="s">
        <v>64</v>
      </c>
      <c r="B27" t="s">
        <v>15</v>
      </c>
      <c r="C27" s="7">
        <v>7.9</v>
      </c>
      <c r="D27" s="8">
        <v>4536</v>
      </c>
      <c r="E27" s="7">
        <v>3.7</v>
      </c>
      <c r="F27">
        <v>33</v>
      </c>
      <c r="G27">
        <v>9</v>
      </c>
      <c r="H27">
        <v>9</v>
      </c>
      <c r="L27" s="5" t="s">
        <v>65</v>
      </c>
      <c r="M27" s="6"/>
      <c r="N27" s="6"/>
      <c r="O27" s="6"/>
      <c r="P27" s="6"/>
      <c r="Q27" s="6"/>
      <c r="R27" s="6"/>
    </row>
    <row r="28" spans="1:18" x14ac:dyDescent="0.3">
      <c r="A28" t="s">
        <v>66</v>
      </c>
      <c r="B28" t="s">
        <v>18</v>
      </c>
      <c r="C28" s="7">
        <v>8.6</v>
      </c>
      <c r="D28" s="8">
        <v>4407</v>
      </c>
      <c r="E28" s="7">
        <v>3.1</v>
      </c>
      <c r="F28">
        <v>11</v>
      </c>
      <c r="G28">
        <v>7</v>
      </c>
      <c r="H28">
        <v>6</v>
      </c>
      <c r="L28" s="5" t="s">
        <v>67</v>
      </c>
      <c r="M28" s="6"/>
      <c r="N28" s="6"/>
      <c r="O28" s="6"/>
      <c r="P28" s="6"/>
      <c r="Q28" s="6"/>
      <c r="R28" s="6"/>
    </row>
    <row r="29" spans="1:18" x14ac:dyDescent="0.3">
      <c r="A29" t="s">
        <v>68</v>
      </c>
      <c r="B29" t="s">
        <v>23</v>
      </c>
      <c r="C29" s="7">
        <v>5.9</v>
      </c>
      <c r="D29" s="8">
        <v>3300</v>
      </c>
      <c r="E29" s="7">
        <v>4</v>
      </c>
      <c r="F29">
        <v>30</v>
      </c>
      <c r="G29">
        <v>7</v>
      </c>
      <c r="H29">
        <v>7</v>
      </c>
      <c r="L29" s="10" t="s">
        <v>50</v>
      </c>
      <c r="M29" s="10" t="s">
        <v>51</v>
      </c>
      <c r="N29" s="10" t="s">
        <v>52</v>
      </c>
      <c r="O29" s="10" t="s">
        <v>53</v>
      </c>
      <c r="P29" s="10" t="s">
        <v>54</v>
      </c>
      <c r="Q29" s="6"/>
      <c r="R29" s="6"/>
    </row>
    <row r="30" spans="1:18" x14ac:dyDescent="0.3">
      <c r="A30" t="s">
        <v>69</v>
      </c>
      <c r="B30" t="s">
        <v>36</v>
      </c>
      <c r="C30" s="7">
        <v>5.0999999999999996</v>
      </c>
      <c r="D30" s="8">
        <v>3143</v>
      </c>
      <c r="E30" s="7">
        <v>3.6</v>
      </c>
      <c r="F30">
        <v>22</v>
      </c>
      <c r="G30">
        <v>9</v>
      </c>
      <c r="H30">
        <v>6</v>
      </c>
      <c r="L30" s="11">
        <f>_xlfn.STDEV.S(Day10Data[Monthly_Salary])</f>
        <v>740.30742538598975</v>
      </c>
      <c r="M30" s="12">
        <f>_xlfn.STDEV.S(Day10Data[Performance_Score])</f>
        <v>0.6558869987292385</v>
      </c>
      <c r="N30" s="12">
        <f>_xlfn.STDEV.S(Day10Data[Training_Hours])</f>
        <v>10.049043004491645</v>
      </c>
      <c r="O30" s="12">
        <f>_xlfn.STDEV.S(Day10Data[Absent_Days])</f>
        <v>3.3917065718289598</v>
      </c>
      <c r="P30" s="12">
        <f>_xlfn.STDEV.S(Day10Data[Projects_Completed])</f>
        <v>2.6061935649447037</v>
      </c>
      <c r="Q30" s="6"/>
      <c r="R30" s="6"/>
    </row>
    <row r="31" spans="1:18" x14ac:dyDescent="0.3">
      <c r="A31" t="s">
        <v>70</v>
      </c>
      <c r="B31" t="s">
        <v>15</v>
      </c>
      <c r="C31" s="7">
        <v>0.6</v>
      </c>
      <c r="D31" s="8">
        <v>3907</v>
      </c>
      <c r="E31" s="7">
        <v>3.6</v>
      </c>
      <c r="F31">
        <v>18</v>
      </c>
      <c r="G31">
        <v>6</v>
      </c>
      <c r="H31">
        <v>3</v>
      </c>
      <c r="L31" s="6"/>
      <c r="M31" s="6"/>
      <c r="N31" s="6"/>
      <c r="O31" s="6"/>
      <c r="P31" s="6"/>
      <c r="Q31" s="6"/>
      <c r="R31" s="6"/>
    </row>
    <row r="32" spans="1:18" x14ac:dyDescent="0.3">
      <c r="A32" t="s">
        <v>71</v>
      </c>
      <c r="B32" t="s">
        <v>15</v>
      </c>
      <c r="C32" s="7">
        <v>7.7</v>
      </c>
      <c r="D32" s="8">
        <v>4627</v>
      </c>
      <c r="E32" s="7">
        <v>4</v>
      </c>
      <c r="F32">
        <v>36</v>
      </c>
      <c r="G32">
        <v>7</v>
      </c>
      <c r="H32">
        <v>10</v>
      </c>
      <c r="L32" s="5" t="s">
        <v>72</v>
      </c>
      <c r="M32" s="6"/>
      <c r="N32" s="6"/>
      <c r="O32" s="6"/>
      <c r="P32" s="6"/>
      <c r="Q32" s="6"/>
      <c r="R32" s="6"/>
    </row>
    <row r="33" spans="1:18" x14ac:dyDescent="0.3">
      <c r="A33" t="s">
        <v>73</v>
      </c>
      <c r="B33" t="s">
        <v>45</v>
      </c>
      <c r="C33" s="7">
        <v>1.4</v>
      </c>
      <c r="D33" s="8">
        <v>2831</v>
      </c>
      <c r="E33" s="7">
        <v>3.7</v>
      </c>
      <c r="F33">
        <v>31</v>
      </c>
      <c r="G33">
        <v>4</v>
      </c>
      <c r="H33">
        <v>6</v>
      </c>
      <c r="L33" s="6" t="s">
        <v>74</v>
      </c>
      <c r="M33" s="6"/>
      <c r="N33" s="6"/>
      <c r="O33" s="6"/>
      <c r="P33" s="6"/>
      <c r="Q33" s="6"/>
      <c r="R33" s="6"/>
    </row>
    <row r="34" spans="1:18" x14ac:dyDescent="0.3">
      <c r="A34" t="s">
        <v>75</v>
      </c>
      <c r="B34" t="s">
        <v>18</v>
      </c>
      <c r="C34" s="7">
        <v>5</v>
      </c>
      <c r="D34" s="8">
        <v>3821</v>
      </c>
      <c r="E34" s="7">
        <v>3.8</v>
      </c>
      <c r="F34">
        <v>28</v>
      </c>
      <c r="G34">
        <v>8</v>
      </c>
      <c r="H34">
        <v>6</v>
      </c>
      <c r="L34" s="10" t="s">
        <v>76</v>
      </c>
      <c r="M34" s="10" t="s">
        <v>50</v>
      </c>
      <c r="N34" s="10" t="s">
        <v>53</v>
      </c>
      <c r="O34" s="10" t="s">
        <v>54</v>
      </c>
      <c r="P34" s="6"/>
      <c r="Q34" s="6"/>
      <c r="R34" s="6"/>
    </row>
    <row r="35" spans="1:18" x14ac:dyDescent="0.3">
      <c r="A35" t="s">
        <v>77</v>
      </c>
      <c r="B35" t="s">
        <v>18</v>
      </c>
      <c r="C35" s="7">
        <v>7.2</v>
      </c>
      <c r="D35" s="8">
        <v>3952</v>
      </c>
      <c r="E35" s="7">
        <v>3.8</v>
      </c>
      <c r="F35">
        <v>25</v>
      </c>
      <c r="G35">
        <v>1</v>
      </c>
      <c r="H35">
        <v>7</v>
      </c>
      <c r="L35" s="10" t="s">
        <v>78</v>
      </c>
      <c r="M35" s="10">
        <f>_xlfn.QUARTILE.INC(Day10Data[Monthly_Salary],1)</f>
        <v>3389.25</v>
      </c>
      <c r="N35" s="10">
        <f>_xlfn.QUARTILE.INC(Day10Data[Absent_Days],1)</f>
        <v>3</v>
      </c>
      <c r="O35" s="10">
        <f>_xlfn.QUARTILE.INC(Day10Data[Projects_Completed],1)</f>
        <v>4</v>
      </c>
      <c r="P35" s="6"/>
      <c r="Q35" s="6"/>
      <c r="R35" s="6"/>
    </row>
    <row r="36" spans="1:18" x14ac:dyDescent="0.3">
      <c r="A36" t="s">
        <v>79</v>
      </c>
      <c r="B36" t="s">
        <v>18</v>
      </c>
      <c r="C36" s="7">
        <v>1.6</v>
      </c>
      <c r="D36" s="8">
        <v>3416</v>
      </c>
      <c r="E36" s="7">
        <v>3.5</v>
      </c>
      <c r="F36">
        <v>17</v>
      </c>
      <c r="G36">
        <v>7</v>
      </c>
      <c r="H36">
        <v>3</v>
      </c>
      <c r="L36" s="10" t="s">
        <v>80</v>
      </c>
      <c r="M36" s="10">
        <f>_xlfn.QUARTILE.INC(Day10Data[Monthly_Salary],3)</f>
        <v>3924.25</v>
      </c>
      <c r="N36" s="10">
        <f>_xlfn.QUARTILE.INC(Day10Data[Absent_Days],3)</f>
        <v>8</v>
      </c>
      <c r="O36" s="10">
        <f>_xlfn.QUARTILE.INC(Day10Data[Projects_Completed],3)</f>
        <v>7.75</v>
      </c>
      <c r="P36" s="6"/>
      <c r="Q36" s="6"/>
      <c r="R36" s="6"/>
    </row>
    <row r="37" spans="1:18" x14ac:dyDescent="0.3">
      <c r="A37" t="s">
        <v>81</v>
      </c>
      <c r="B37" t="s">
        <v>30</v>
      </c>
      <c r="C37" s="7">
        <v>6.1</v>
      </c>
      <c r="D37" s="8">
        <v>3871</v>
      </c>
      <c r="E37" s="7">
        <v>4.2</v>
      </c>
      <c r="F37">
        <v>39</v>
      </c>
      <c r="G37">
        <v>1</v>
      </c>
      <c r="H37">
        <v>7</v>
      </c>
      <c r="L37" s="10" t="s">
        <v>82</v>
      </c>
      <c r="M37" s="10">
        <f>M36-M35</f>
        <v>535</v>
      </c>
      <c r="N37" s="10">
        <f>N36-N35</f>
        <v>5</v>
      </c>
      <c r="O37" s="10">
        <f>O36-O35</f>
        <v>3.75</v>
      </c>
      <c r="P37" s="6"/>
      <c r="Q37" s="6"/>
      <c r="R37" s="6"/>
    </row>
    <row r="38" spans="1:18" x14ac:dyDescent="0.3">
      <c r="A38" t="s">
        <v>83</v>
      </c>
      <c r="B38" t="s">
        <v>18</v>
      </c>
      <c r="C38" s="7">
        <v>2.7</v>
      </c>
      <c r="D38" s="8">
        <v>3365</v>
      </c>
      <c r="E38" s="7">
        <v>4</v>
      </c>
      <c r="F38">
        <v>25</v>
      </c>
      <c r="G38">
        <v>8</v>
      </c>
      <c r="H38">
        <v>3</v>
      </c>
      <c r="L38" s="10" t="s">
        <v>84</v>
      </c>
      <c r="M38" s="10">
        <f>M35-1.5*(M37)</f>
        <v>2586.75</v>
      </c>
      <c r="N38" s="10">
        <f>N35-1.5*(N37)</f>
        <v>-4.5</v>
      </c>
      <c r="O38" s="10">
        <f>O35-1.5*(O37)</f>
        <v>-1.625</v>
      </c>
      <c r="P38" s="6"/>
      <c r="Q38" s="6"/>
      <c r="R38" s="6"/>
    </row>
    <row r="39" spans="1:18" x14ac:dyDescent="0.3">
      <c r="A39" t="s">
        <v>85</v>
      </c>
      <c r="B39" t="s">
        <v>18</v>
      </c>
      <c r="C39" s="7">
        <v>0.9</v>
      </c>
      <c r="D39" s="8">
        <v>3085</v>
      </c>
      <c r="E39" s="7">
        <v>2.2999999999999998</v>
      </c>
      <c r="F39">
        <v>24</v>
      </c>
      <c r="G39">
        <v>2</v>
      </c>
      <c r="H39">
        <v>4</v>
      </c>
      <c r="L39" s="10" t="s">
        <v>86</v>
      </c>
      <c r="M39" s="10">
        <f>M36+1.5*(M37)</f>
        <v>4726.75</v>
      </c>
      <c r="N39" s="10">
        <f>N36+1.5*(N37)</f>
        <v>15.5</v>
      </c>
      <c r="O39" s="10">
        <f>O36+1.5*(O37)</f>
        <v>13.375</v>
      </c>
      <c r="P39" s="6"/>
      <c r="Q39" s="6"/>
      <c r="R39" s="6"/>
    </row>
    <row r="40" spans="1:18" x14ac:dyDescent="0.3">
      <c r="A40" t="s">
        <v>87</v>
      </c>
      <c r="B40" t="s">
        <v>45</v>
      </c>
      <c r="C40" s="7">
        <v>8.8000000000000007</v>
      </c>
      <c r="D40" s="8">
        <v>3899</v>
      </c>
      <c r="E40" s="7">
        <v>3.6</v>
      </c>
      <c r="F40">
        <v>24</v>
      </c>
      <c r="G40">
        <v>7</v>
      </c>
      <c r="H40">
        <v>9</v>
      </c>
      <c r="L40" s="10" t="s">
        <v>88</v>
      </c>
      <c r="M40" s="10">
        <f>MIN(Day10Data[Monthly_Salary])</f>
        <v>2647</v>
      </c>
      <c r="N40" s="10">
        <f>MIN(Day10Data[Absent_Days])</f>
        <v>0</v>
      </c>
      <c r="O40" s="10">
        <f>MIN(Day10Data[Projects_Completed])</f>
        <v>1</v>
      </c>
      <c r="P40" s="6"/>
      <c r="Q40" s="6"/>
      <c r="R40" s="6"/>
    </row>
    <row r="41" spans="1:18" x14ac:dyDescent="0.3">
      <c r="A41" t="s">
        <v>89</v>
      </c>
      <c r="B41" t="s">
        <v>36</v>
      </c>
      <c r="C41" s="7">
        <v>9.6999999999999993</v>
      </c>
      <c r="D41" s="8">
        <v>3643</v>
      </c>
      <c r="E41" s="7">
        <v>4.5</v>
      </c>
      <c r="F41">
        <v>36</v>
      </c>
      <c r="G41">
        <v>1</v>
      </c>
      <c r="H41">
        <v>12</v>
      </c>
      <c r="L41" s="10" t="s">
        <v>90</v>
      </c>
      <c r="M41" s="10">
        <f>MAX(Day10Data[Monthly_Salary])</f>
        <v>7800</v>
      </c>
      <c r="N41" s="10">
        <f>MAX(Day10Data[Absent_Days])</f>
        <v>18</v>
      </c>
      <c r="O41" s="10">
        <f>MAX(Day10Data[Projects_Completed])</f>
        <v>12</v>
      </c>
      <c r="P41" s="6"/>
      <c r="Q41" s="6"/>
      <c r="R41" s="6"/>
    </row>
    <row r="42" spans="1:18" x14ac:dyDescent="0.3">
      <c r="A42" t="s">
        <v>91</v>
      </c>
      <c r="B42" t="s">
        <v>23</v>
      </c>
      <c r="C42" s="7">
        <v>1.2</v>
      </c>
      <c r="D42" s="8">
        <v>2716</v>
      </c>
      <c r="E42" s="7">
        <v>3.1</v>
      </c>
      <c r="F42">
        <v>9</v>
      </c>
      <c r="G42">
        <v>9</v>
      </c>
      <c r="H42">
        <v>1</v>
      </c>
      <c r="L42" s="6"/>
      <c r="M42" s="6"/>
      <c r="N42" s="6"/>
      <c r="O42" s="6"/>
      <c r="P42" s="6"/>
      <c r="Q42" s="6"/>
      <c r="R42" s="6"/>
    </row>
    <row r="43" spans="1:18" x14ac:dyDescent="0.3">
      <c r="A43" t="s">
        <v>92</v>
      </c>
      <c r="B43" t="s">
        <v>45</v>
      </c>
      <c r="C43" s="7">
        <v>9.9</v>
      </c>
      <c r="D43" s="8">
        <v>3798</v>
      </c>
      <c r="E43" s="7">
        <v>3.9</v>
      </c>
      <c r="F43">
        <v>32</v>
      </c>
      <c r="G43">
        <v>9</v>
      </c>
      <c r="H43">
        <v>9</v>
      </c>
      <c r="L43" s="5" t="s">
        <v>93</v>
      </c>
      <c r="M43" s="6"/>
      <c r="N43" s="6"/>
      <c r="O43" s="6"/>
      <c r="P43" s="6"/>
      <c r="Q43" s="6"/>
      <c r="R43" s="6"/>
    </row>
    <row r="44" spans="1:18" x14ac:dyDescent="0.3">
      <c r="A44" t="s">
        <v>94</v>
      </c>
      <c r="B44" t="s">
        <v>15</v>
      </c>
      <c r="C44" s="7">
        <v>4.0999999999999996</v>
      </c>
      <c r="D44" s="8">
        <v>4307</v>
      </c>
      <c r="E44" s="7">
        <v>4.2</v>
      </c>
      <c r="F44">
        <v>34</v>
      </c>
      <c r="G44">
        <v>9</v>
      </c>
      <c r="H44">
        <v>7</v>
      </c>
      <c r="L44" s="6" t="s">
        <v>95</v>
      </c>
      <c r="M44" s="6"/>
      <c r="N44" s="6"/>
      <c r="O44" s="6"/>
      <c r="P44" s="6"/>
      <c r="Q44" s="6"/>
      <c r="R44" s="6"/>
    </row>
    <row r="45" spans="1:18" x14ac:dyDescent="0.3">
      <c r="A45" t="s">
        <v>96</v>
      </c>
      <c r="B45" t="s">
        <v>18</v>
      </c>
      <c r="C45" s="7">
        <v>5.9</v>
      </c>
      <c r="D45" s="8">
        <v>3688</v>
      </c>
      <c r="E45" s="7">
        <v>2.5</v>
      </c>
      <c r="F45">
        <v>12</v>
      </c>
      <c r="G45">
        <v>3</v>
      </c>
      <c r="H45">
        <v>4</v>
      </c>
      <c r="L45" s="10" t="s">
        <v>97</v>
      </c>
      <c r="M45" s="10" t="s">
        <v>98</v>
      </c>
      <c r="N45" s="10" t="s">
        <v>99</v>
      </c>
      <c r="O45" s="10" t="s">
        <v>100</v>
      </c>
      <c r="P45" s="6"/>
      <c r="Q45" s="6"/>
      <c r="R45" s="6"/>
    </row>
    <row r="46" spans="1:18" x14ac:dyDescent="0.3">
      <c r="A46" t="s">
        <v>101</v>
      </c>
      <c r="B46" t="s">
        <v>18</v>
      </c>
      <c r="C46" s="7">
        <v>6.8</v>
      </c>
      <c r="D46" s="8">
        <v>3846</v>
      </c>
      <c r="E46" s="7">
        <v>3.7</v>
      </c>
      <c r="F46">
        <v>21</v>
      </c>
      <c r="G46">
        <v>1</v>
      </c>
      <c r="H46">
        <v>6</v>
      </c>
      <c r="L46" s="12">
        <f>CORREL(Day10Data[Training_Hours],Day10Data[Performance_Score])</f>
        <v>0.86971546806953892</v>
      </c>
      <c r="M46" s="13">
        <f>CORREL(Day10Data[Absent_Days],Day10Data[Performance_Score])</f>
        <v>-8.8216755209620468E-2</v>
      </c>
      <c r="N46" s="12">
        <f>CORREL(Day10Data[Tenure_Years],Day10Data[Monthly_Salary])</f>
        <v>0.37524547391096164</v>
      </c>
      <c r="O46" s="12">
        <f>CORREL(Day10Data[Projects_Completed],Day10Data[Performance_Score])</f>
        <v>0.33204768012090463</v>
      </c>
      <c r="P46" s="6"/>
      <c r="Q46" s="6"/>
      <c r="R46" s="6"/>
    </row>
    <row r="47" spans="1:18" x14ac:dyDescent="0.3">
      <c r="A47" t="s">
        <v>102</v>
      </c>
      <c r="B47" t="s">
        <v>45</v>
      </c>
      <c r="C47" s="7">
        <v>4.4000000000000004</v>
      </c>
      <c r="D47" s="8">
        <v>3430</v>
      </c>
      <c r="E47" s="7">
        <v>4.3</v>
      </c>
      <c r="F47">
        <v>36</v>
      </c>
      <c r="G47">
        <v>3</v>
      </c>
      <c r="H47">
        <v>7</v>
      </c>
    </row>
    <row r="48" spans="1:18" x14ac:dyDescent="0.3">
      <c r="A48" t="s">
        <v>103</v>
      </c>
      <c r="B48" t="s">
        <v>30</v>
      </c>
      <c r="C48" s="7">
        <v>3.2</v>
      </c>
      <c r="D48" s="8">
        <v>3574</v>
      </c>
      <c r="E48" s="7">
        <v>4.5</v>
      </c>
      <c r="F48">
        <v>35</v>
      </c>
      <c r="G48">
        <v>3</v>
      </c>
      <c r="H48">
        <v>6</v>
      </c>
    </row>
    <row r="49" spans="1:15" x14ac:dyDescent="0.3">
      <c r="A49" t="s">
        <v>104</v>
      </c>
      <c r="B49" t="s">
        <v>30</v>
      </c>
      <c r="C49" s="7">
        <v>6.1</v>
      </c>
      <c r="D49" s="8">
        <v>3893</v>
      </c>
      <c r="E49" s="7">
        <v>3.3</v>
      </c>
      <c r="F49">
        <v>18</v>
      </c>
      <c r="G49">
        <v>8</v>
      </c>
      <c r="H49">
        <v>5</v>
      </c>
      <c r="L49" t="s">
        <v>105</v>
      </c>
    </row>
    <row r="50" spans="1:15" x14ac:dyDescent="0.3">
      <c r="A50" t="s">
        <v>106</v>
      </c>
      <c r="B50" t="s">
        <v>30</v>
      </c>
      <c r="C50" s="7">
        <v>1.9</v>
      </c>
      <c r="D50" s="8">
        <v>3114</v>
      </c>
      <c r="E50" s="7">
        <v>3.5</v>
      </c>
      <c r="F50">
        <v>15</v>
      </c>
      <c r="G50">
        <v>2</v>
      </c>
      <c r="H50">
        <v>3</v>
      </c>
      <c r="J50">
        <f>COUNTA(Day10Data[Employee_ID])</f>
        <v>50</v>
      </c>
      <c r="L50" t="s">
        <v>107</v>
      </c>
    </row>
    <row r="51" spans="1:15" x14ac:dyDescent="0.3">
      <c r="A51" t="s">
        <v>108</v>
      </c>
      <c r="B51" t="s">
        <v>15</v>
      </c>
      <c r="C51" s="7">
        <v>7.6</v>
      </c>
      <c r="D51" s="8">
        <v>4553</v>
      </c>
      <c r="E51" s="7">
        <v>3.6</v>
      </c>
      <c r="F51">
        <v>24</v>
      </c>
      <c r="G51">
        <v>7</v>
      </c>
      <c r="H51">
        <v>8</v>
      </c>
      <c r="L51" t="s">
        <v>109</v>
      </c>
    </row>
    <row r="52" spans="1:15" x14ac:dyDescent="0.3">
      <c r="A52" t="s">
        <v>110</v>
      </c>
      <c r="B52" t="s">
        <v>30</v>
      </c>
      <c r="C52" s="7">
        <v>4.3</v>
      </c>
      <c r="D52" s="8">
        <v>3405</v>
      </c>
      <c r="E52" s="7">
        <v>4.2</v>
      </c>
      <c r="F52">
        <v>38</v>
      </c>
      <c r="G52">
        <v>7</v>
      </c>
      <c r="H52">
        <v>5</v>
      </c>
      <c r="L52" t="s">
        <v>111</v>
      </c>
      <c r="M52" t="s">
        <v>112</v>
      </c>
      <c r="N52" t="s">
        <v>113</v>
      </c>
      <c r="O52" t="s">
        <v>114</v>
      </c>
    </row>
    <row r="53" spans="1:15" x14ac:dyDescent="0.3">
      <c r="A53" t="s">
        <v>115</v>
      </c>
      <c r="B53" t="s">
        <v>15</v>
      </c>
      <c r="C53" s="7">
        <v>0.9</v>
      </c>
      <c r="D53" s="8">
        <v>3679</v>
      </c>
      <c r="E53" s="7">
        <v>3.6</v>
      </c>
      <c r="F53">
        <v>26</v>
      </c>
      <c r="G53">
        <v>0</v>
      </c>
      <c r="H53">
        <v>1</v>
      </c>
      <c r="L53" s="5" t="s">
        <v>18</v>
      </c>
      <c r="M53" s="7">
        <v>3.5363636363636362</v>
      </c>
      <c r="N53" s="14">
        <v>5.4545454545454541</v>
      </c>
      <c r="O53" s="14">
        <v>5.7272727272727275</v>
      </c>
    </row>
    <row r="54" spans="1:15" x14ac:dyDescent="0.3">
      <c r="A54" t="s">
        <v>116</v>
      </c>
      <c r="B54" t="s">
        <v>36</v>
      </c>
      <c r="C54" s="7">
        <v>9.6</v>
      </c>
      <c r="D54" s="8">
        <v>3930</v>
      </c>
      <c r="E54" s="7">
        <v>2.2999999999999998</v>
      </c>
      <c r="F54">
        <v>7</v>
      </c>
      <c r="G54">
        <v>10</v>
      </c>
      <c r="H54">
        <v>7</v>
      </c>
      <c r="L54" s="5" t="s">
        <v>36</v>
      </c>
      <c r="M54" s="7">
        <v>3.4666666666666668</v>
      </c>
      <c r="N54" s="14">
        <v>7.333333333333333</v>
      </c>
      <c r="O54" s="14">
        <v>7.333333333333333</v>
      </c>
    </row>
    <row r="55" spans="1:15" x14ac:dyDescent="0.3">
      <c r="A55" t="s">
        <v>117</v>
      </c>
      <c r="B55" t="s">
        <v>15</v>
      </c>
      <c r="C55" s="7">
        <v>0.9</v>
      </c>
      <c r="D55" s="8">
        <v>3845</v>
      </c>
      <c r="E55" s="7">
        <v>3.2</v>
      </c>
      <c r="F55">
        <v>17</v>
      </c>
      <c r="G55">
        <v>10</v>
      </c>
      <c r="H55">
        <v>3</v>
      </c>
      <c r="L55" s="5" t="s">
        <v>15</v>
      </c>
      <c r="M55" s="7">
        <v>3.56</v>
      </c>
      <c r="N55">
        <v>5.4</v>
      </c>
      <c r="O55">
        <v>6.4</v>
      </c>
    </row>
    <row r="56" spans="1:15" x14ac:dyDescent="0.3">
      <c r="L56" s="5" t="s">
        <v>30</v>
      </c>
      <c r="M56" s="7">
        <v>3.6444444444444448</v>
      </c>
      <c r="N56" s="14">
        <v>5.2222222222222223</v>
      </c>
      <c r="O56" s="14">
        <v>3.8888888888888888</v>
      </c>
    </row>
    <row r="57" spans="1:15" x14ac:dyDescent="0.3">
      <c r="L57" s="5" t="s">
        <v>23</v>
      </c>
      <c r="M57" s="7">
        <v>3.5</v>
      </c>
      <c r="N57" s="14">
        <v>6.166666666666667</v>
      </c>
      <c r="O57" s="14">
        <v>7.833333333333333</v>
      </c>
    </row>
    <row r="58" spans="1:15" x14ac:dyDescent="0.3">
      <c r="L58" s="5" t="s">
        <v>45</v>
      </c>
      <c r="M58" s="7">
        <v>3.8375000000000004</v>
      </c>
      <c r="N58">
        <v>7.625</v>
      </c>
      <c r="O58">
        <v>5.375</v>
      </c>
    </row>
    <row r="59" spans="1:15" x14ac:dyDescent="0.3">
      <c r="L59" s="5" t="s">
        <v>118</v>
      </c>
      <c r="M59" s="7">
        <v>3.5959999999999996</v>
      </c>
      <c r="N59">
        <v>6.06</v>
      </c>
      <c r="O59">
        <v>5.92</v>
      </c>
    </row>
    <row r="61" spans="1:15" x14ac:dyDescent="0.3">
      <c r="L61" s="5" t="s">
        <v>119</v>
      </c>
    </row>
    <row r="62" spans="1:15" x14ac:dyDescent="0.3">
      <c r="L62" t="s">
        <v>111</v>
      </c>
      <c r="M62" t="s">
        <v>120</v>
      </c>
    </row>
    <row r="63" spans="1:15" x14ac:dyDescent="0.3">
      <c r="L63" s="5" t="s">
        <v>18</v>
      </c>
      <c r="M63" s="8">
        <v>3769</v>
      </c>
    </row>
    <row r="64" spans="1:15" x14ac:dyDescent="0.3">
      <c r="L64" s="5" t="s">
        <v>36</v>
      </c>
      <c r="M64" s="8">
        <v>3409.1666666666665</v>
      </c>
    </row>
    <row r="65" spans="12:14" x14ac:dyDescent="0.3">
      <c r="L65" s="5" t="s">
        <v>15</v>
      </c>
      <c r="M65" s="8">
        <v>4115.3999999999996</v>
      </c>
    </row>
    <row r="66" spans="12:14" x14ac:dyDescent="0.3">
      <c r="L66" s="5" t="s">
        <v>30</v>
      </c>
      <c r="M66" s="8">
        <v>3933.8888888888887</v>
      </c>
    </row>
    <row r="67" spans="12:14" x14ac:dyDescent="0.3">
      <c r="L67" s="5" t="s">
        <v>23</v>
      </c>
      <c r="M67" s="8">
        <v>3229.1666666666665</v>
      </c>
    </row>
    <row r="68" spans="12:14" x14ac:dyDescent="0.3">
      <c r="L68" s="5" t="s">
        <v>45</v>
      </c>
      <c r="M68" s="8">
        <v>3561.25</v>
      </c>
    </row>
    <row r="69" spans="12:14" x14ac:dyDescent="0.3">
      <c r="L69" s="5" t="s">
        <v>118</v>
      </c>
      <c r="M69" s="8">
        <v>3726.76</v>
      </c>
    </row>
    <row r="71" spans="12:14" x14ac:dyDescent="0.3">
      <c r="L71" s="5" t="s">
        <v>121</v>
      </c>
    </row>
    <row r="72" spans="12:14" x14ac:dyDescent="0.3">
      <c r="L72" t="s">
        <v>111</v>
      </c>
      <c r="M72" t="s">
        <v>122</v>
      </c>
      <c r="N72" t="s">
        <v>112</v>
      </c>
    </row>
    <row r="73" spans="12:14" x14ac:dyDescent="0.3">
      <c r="L73" s="5" t="s">
        <v>18</v>
      </c>
      <c r="M73" s="14">
        <v>23.181818181818183</v>
      </c>
      <c r="N73" s="7">
        <v>3.5363636363636362</v>
      </c>
    </row>
    <row r="74" spans="12:14" x14ac:dyDescent="0.3">
      <c r="L74" s="5" t="s">
        <v>36</v>
      </c>
      <c r="M74" s="14">
        <v>22.333333333333332</v>
      </c>
      <c r="N74" s="7">
        <v>3.4666666666666668</v>
      </c>
    </row>
    <row r="75" spans="12:14" x14ac:dyDescent="0.3">
      <c r="L75" s="5" t="s">
        <v>15</v>
      </c>
      <c r="M75">
        <v>23.7</v>
      </c>
      <c r="N75" s="7">
        <v>3.56</v>
      </c>
    </row>
    <row r="76" spans="12:14" x14ac:dyDescent="0.3">
      <c r="L76" s="5" t="s">
        <v>30</v>
      </c>
      <c r="M76" s="14">
        <v>26.444444444444443</v>
      </c>
      <c r="N76" s="7">
        <v>3.6444444444444448</v>
      </c>
    </row>
    <row r="77" spans="12:14" x14ac:dyDescent="0.3">
      <c r="L77" s="5" t="s">
        <v>23</v>
      </c>
      <c r="M77" s="14">
        <v>21.666666666666668</v>
      </c>
      <c r="N77" s="7">
        <v>3.5</v>
      </c>
    </row>
    <row r="78" spans="12:14" x14ac:dyDescent="0.3">
      <c r="L78" s="5" t="s">
        <v>45</v>
      </c>
      <c r="M78" s="14">
        <v>28.375</v>
      </c>
      <c r="N78" s="7">
        <v>3.8375000000000004</v>
      </c>
    </row>
    <row r="79" spans="12:14" x14ac:dyDescent="0.3">
      <c r="L79" s="5" t="s">
        <v>118</v>
      </c>
      <c r="M79">
        <v>24.42</v>
      </c>
      <c r="N79" s="7">
        <v>3.5959999999999996</v>
      </c>
    </row>
    <row r="81" spans="12:12" x14ac:dyDescent="0.3">
      <c r="L81" s="5" t="s">
        <v>123</v>
      </c>
    </row>
    <row r="82" spans="12:12" x14ac:dyDescent="0.3">
      <c r="L82" s="5" t="s">
        <v>124</v>
      </c>
    </row>
    <row r="83" spans="12:12" x14ac:dyDescent="0.3">
      <c r="L83" s="5" t="s">
        <v>125</v>
      </c>
    </row>
    <row r="100" spans="12:12" x14ac:dyDescent="0.3">
      <c r="L100" t="s">
        <v>126</v>
      </c>
    </row>
    <row r="117" spans="12:12" x14ac:dyDescent="0.3">
      <c r="L117" t="s">
        <v>127</v>
      </c>
    </row>
    <row r="134" spans="12:12" x14ac:dyDescent="0.3">
      <c r="L134" t="s">
        <v>128</v>
      </c>
    </row>
    <row r="151" spans="12:12" x14ac:dyDescent="0.3">
      <c r="L151" t="s">
        <v>129</v>
      </c>
    </row>
  </sheetData>
  <pageMargins left="0.75" right="0.75" top="1" bottom="1" header="0.5" footer="0.5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2026-05-03T15:00:47Z</dcterms:created>
  <dcterms:modified xsi:type="dcterms:W3CDTF">2026-05-03T15:02:07Z</dcterms:modified>
</cp:coreProperties>
</file>