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00EEDB5E-B487-420D-94FA-00D544B49DDE}" xr6:coauthVersionLast="47" xr6:coauthVersionMax="47" xr10:uidLastSave="{00000000-0000-0000-0000-000000000000}"/>
  <bookViews>
    <workbookView xWindow="-108" yWindow="-108" windowWidth="23256" windowHeight="12456" xr2:uid="{DA5BA2E0-E3A3-4AD0-97CA-6E0959DBA096}"/>
  </bookViews>
  <sheets>
    <sheet name="Day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75" i="1"/>
  <c r="B77" i="1" s="1"/>
  <c r="B72" i="1"/>
  <c r="B71" i="1"/>
  <c r="B73" i="1" s="1"/>
  <c r="B69" i="1"/>
  <c r="B68" i="1"/>
  <c r="B67" i="1"/>
</calcChain>
</file>

<file path=xl/sharedStrings.xml><?xml version="1.0" encoding="utf-8"?>
<sst xmlns="http://schemas.openxmlformats.org/spreadsheetml/2006/main" count="319" uniqueCount="89">
  <si>
    <t>Day 9 Dataset: Probability</t>
  </si>
  <si>
    <t>Objective</t>
  </si>
  <si>
    <t>Estimate simple and conditional probabilities from ticket data.</t>
  </si>
  <si>
    <t>Suggested practice</t>
  </si>
  <si>
    <t>Example questions: P(High priority), P(Email), and P(High priority | Email).</t>
  </si>
  <si>
    <t>Ticket_ID</t>
  </si>
  <si>
    <t>Channel</t>
  </si>
  <si>
    <t>Priority</t>
  </si>
  <si>
    <t>Resolved_On_Time</t>
  </si>
  <si>
    <t>Region</t>
  </si>
  <si>
    <t>K001</t>
  </si>
  <si>
    <t>Email</t>
  </si>
  <si>
    <t>Low</t>
  </si>
  <si>
    <t>Yes</t>
  </si>
  <si>
    <t>North</t>
  </si>
  <si>
    <t>K002</t>
  </si>
  <si>
    <t>Phone</t>
  </si>
  <si>
    <t>South</t>
  </si>
  <si>
    <t>K003</t>
  </si>
  <si>
    <t>Medium</t>
  </si>
  <si>
    <t>No</t>
  </si>
  <si>
    <t>K004</t>
  </si>
  <si>
    <t>K005</t>
  </si>
  <si>
    <t>Chat</t>
  </si>
  <si>
    <t>K006</t>
  </si>
  <si>
    <t>East</t>
  </si>
  <si>
    <t>K007</t>
  </si>
  <si>
    <t>K008</t>
  </si>
  <si>
    <t>West</t>
  </si>
  <si>
    <t>K009</t>
  </si>
  <si>
    <t>K010</t>
  </si>
  <si>
    <t>K011</t>
  </si>
  <si>
    <t>K012</t>
  </si>
  <si>
    <t>K013</t>
  </si>
  <si>
    <t>High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</si>
  <si>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</si>
  <si>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</si>
  <si>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</si>
  <si>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</si>
  <si>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</si>
  <si>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</si>
  <si>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</si>
  <si>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</si>
  <si>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</si>
  <si>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</si>
  <si>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</si>
  <si>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</si>
  <si>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</si>
  <si>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</si>
  <si>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</si>
  <si>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</si>
  <si>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</si>
  <si>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</si>
  <si>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</si>
  <si>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</si>
  <si>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</si>
  <si>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</si>
  <si>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</si>
  <si>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</si>
  <si>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</si>
  <si>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</si>
  <si>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</si>
  <si>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</si>
  <si>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</si>
  <si>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</si>
  <si>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</si>
  <si>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</si>
  <si>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</si>
  <si>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</si>
  <si>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</si>
  <si>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</si>
  <si>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</si>
  <si>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</si>
  <si>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</si>
  <si>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</si>
  <si>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</si>
  <si>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</si>
  <si>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</si>
  <si>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</si>
  <si>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</si>
  <si>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</si>
  <si>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</si>
  <si>
    <t>HIGH PRIORITY</t>
  </si>
  <si>
    <t>TICKET COUNT</t>
  </si>
  <si>
    <t>P(HIGH PRIORITY)</t>
  </si>
  <si>
    <t>TICKETS BY EMAIL</t>
  </si>
  <si>
    <t>P(EMAIL)</t>
  </si>
  <si>
    <t>EMAIL &amp; HIGH PR.</t>
  </si>
  <si>
    <t>P(HIGH PR/EMAIL)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</si>
</sst>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3" borderId="0" xfId="0" applyFill="1" applyAlignment="1">
      <alignment wrapText="1"/>
    </xf>
    <xf numFmtId="0" fontId="4" fillId="4" borderId="0" xfId="0" applyFont="1" applyFill="1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B2DBD7-F988-4D49-B68C-B03E7F050BEC}" name="Day9Data" displayName="Day9Data" ref="A5:E65">
  <autoFilter ref="A5:E65" xr:uid="{00000000-0009-0000-0100-000009000000}"/>
  <tableColumns count="5">
    <tableColumn id="1" xr3:uid="{D45C0379-8E7B-4ECF-A15B-644409DDB25E}" name="Ticket_ID"/>
    <tableColumn id="2" xr3:uid="{3440A6FC-1B92-4C59-9C28-25D9BF74C863}" name="Channel"/>
    <tableColumn id="3" xr3:uid="{08B4E103-FAAA-4BAD-BDBA-25DE3743DA2A}" name="Priority"/>
    <tableColumn id="4" xr3:uid="{16D96744-BD51-4922-BA89-6CD65F46E29A}" name="Resolved_On_Time"/>
    <tableColumn id="5" xr3:uid="{02934FDA-A8F0-465E-B005-E692262046A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A85D-B235-4AC9-9F32-7DFA0A61149F}">
  <dimension ref="A1:E77"/>
  <sheetViews>
    <sheetView tabSelected="1" workbookViewId="0">
      <pane ySplit="4" topLeftCell="A5" activePane="bottomLeft" state="frozen"/>
      <selection pane="bottomLeft" activeCell="B63" sqref="B63"/>
    </sheetView>
  </sheetViews>
  <sheetFormatPr defaultRowHeight="14.4" x14ac:dyDescent="0.3"/>
  <cols>
    <col min="1" max="1" width="18" customWidth="1"/>
    <col min="2" max="2" width="32" customWidth="1"/>
    <col min="3" max="3" width="12" customWidth="1"/>
    <col min="4" max="4" width="21.77734375" bestFit="1" customWidth="1"/>
    <col min="5" max="5" width="12" customWidth="1"/>
  </cols>
  <sheetData>
    <row r="1" spans="1:5" ht="19.95" customHeight="1" x14ac:dyDescent="0.4">
      <c r="A1" s="1" t="s">
        <v>0</v>
      </c>
    </row>
    <row r="2" spans="1:5" ht="28.8" x14ac:dyDescent="0.3">
      <c r="A2" s="2" t="s">
        <v>1</v>
      </c>
      <c r="B2" s="3" t="s">
        <v>2</v>
      </c>
    </row>
    <row r="3" spans="1:5" ht="28.8" x14ac:dyDescent="0.3">
      <c r="A3" s="2" t="s">
        <v>3</v>
      </c>
      <c r="B3" s="3" t="s">
        <v>4</v>
      </c>
    </row>
    <row r="4" spans="1:5" ht="19.95" customHeight="1" x14ac:dyDescent="0.3"/>
    <row r="5" spans="1:5" x14ac:dyDescent="0.3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</row>
    <row r="6" spans="1:5" x14ac:dyDescent="0.3">
      <c r="A6" t="s">
        <v>10</v>
      </c>
      <c r="B6" t="s">
        <v>11</v>
      </c>
      <c r="C6" t="s">
        <v>12</v>
      </c>
      <c r="D6" t="s">
        <v>13</v>
      </c>
      <c r="E6" t="s">
        <v>14</v>
      </c>
    </row>
    <row r="7" spans="1:5" x14ac:dyDescent="0.3">
      <c r="A7" t="s">
        <v>15</v>
      </c>
      <c r="B7" t="s">
        <v>16</v>
      </c>
      <c r="C7" t="s">
        <v>12</v>
      </c>
      <c r="D7" t="s">
        <v>13</v>
      </c>
      <c r="E7" t="s">
        <v>17</v>
      </c>
    </row>
    <row r="8" spans="1:5" x14ac:dyDescent="0.3">
      <c r="A8" t="s">
        <v>18</v>
      </c>
      <c r="B8" t="s">
        <v>11</v>
      </c>
      <c r="C8" t="s">
        <v>19</v>
      </c>
      <c r="D8" t="s">
        <v>20</v>
      </c>
      <c r="E8" t="s">
        <v>14</v>
      </c>
    </row>
    <row r="9" spans="1:5" x14ac:dyDescent="0.3">
      <c r="A9" t="s">
        <v>21</v>
      </c>
      <c r="B9" t="s">
        <v>16</v>
      </c>
      <c r="C9" t="s">
        <v>19</v>
      </c>
      <c r="D9" t="s">
        <v>13</v>
      </c>
      <c r="E9" t="s">
        <v>14</v>
      </c>
    </row>
    <row r="10" spans="1:5" x14ac:dyDescent="0.3">
      <c r="A10" t="s">
        <v>22</v>
      </c>
      <c r="B10" t="s">
        <v>23</v>
      </c>
      <c r="C10" t="s">
        <v>19</v>
      </c>
      <c r="D10" t="s">
        <v>13</v>
      </c>
      <c r="E10" t="s">
        <v>14</v>
      </c>
    </row>
    <row r="11" spans="1:5" x14ac:dyDescent="0.3">
      <c r="A11" t="s">
        <v>24</v>
      </c>
      <c r="B11" t="s">
        <v>16</v>
      </c>
      <c r="C11" t="s">
        <v>19</v>
      </c>
      <c r="D11" t="s">
        <v>13</v>
      </c>
      <c r="E11" t="s">
        <v>25</v>
      </c>
    </row>
    <row r="12" spans="1:5" x14ac:dyDescent="0.3">
      <c r="A12" t="s">
        <v>26</v>
      </c>
      <c r="B12" t="s">
        <v>23</v>
      </c>
      <c r="C12" t="s">
        <v>12</v>
      </c>
      <c r="D12" t="s">
        <v>13</v>
      </c>
      <c r="E12" t="s">
        <v>17</v>
      </c>
    </row>
    <row r="13" spans="1:5" x14ac:dyDescent="0.3">
      <c r="A13" t="s">
        <v>27</v>
      </c>
      <c r="B13" t="s">
        <v>11</v>
      </c>
      <c r="C13" t="s">
        <v>12</v>
      </c>
      <c r="D13" t="s">
        <v>13</v>
      </c>
      <c r="E13" t="s">
        <v>28</v>
      </c>
    </row>
    <row r="14" spans="1:5" x14ac:dyDescent="0.3">
      <c r="A14" t="s">
        <v>29</v>
      </c>
      <c r="B14" t="s">
        <v>11</v>
      </c>
      <c r="C14" t="s">
        <v>19</v>
      </c>
      <c r="D14" t="s">
        <v>13</v>
      </c>
      <c r="E14" t="s">
        <v>28</v>
      </c>
    </row>
    <row r="15" spans="1:5" x14ac:dyDescent="0.3">
      <c r="A15" t="s">
        <v>30</v>
      </c>
      <c r="B15" t="s">
        <v>16</v>
      </c>
      <c r="C15" t="s">
        <v>19</v>
      </c>
      <c r="D15" t="s">
        <v>13</v>
      </c>
      <c r="E15" t="s">
        <v>17</v>
      </c>
    </row>
    <row r="16" spans="1:5" x14ac:dyDescent="0.3">
      <c r="A16" t="s">
        <v>31</v>
      </c>
      <c r="B16" t="s">
        <v>16</v>
      </c>
      <c r="C16" t="s">
        <v>12</v>
      </c>
      <c r="D16" t="s">
        <v>13</v>
      </c>
      <c r="E16" t="s">
        <v>14</v>
      </c>
    </row>
    <row r="17" spans="1:5" x14ac:dyDescent="0.3">
      <c r="A17" t="s">
        <v>32</v>
      </c>
      <c r="B17" t="s">
        <v>23</v>
      </c>
      <c r="C17" t="s">
        <v>12</v>
      </c>
      <c r="D17" t="s">
        <v>13</v>
      </c>
      <c r="E17" t="s">
        <v>25</v>
      </c>
    </row>
    <row r="18" spans="1:5" x14ac:dyDescent="0.3">
      <c r="A18" t="s">
        <v>33</v>
      </c>
      <c r="B18" t="s">
        <v>16</v>
      </c>
      <c r="C18" t="s">
        <v>34</v>
      </c>
      <c r="D18" t="s">
        <v>13</v>
      </c>
      <c r="E18" t="s">
        <v>14</v>
      </c>
    </row>
    <row r="19" spans="1:5" x14ac:dyDescent="0.3">
      <c r="A19" t="s">
        <v>35</v>
      </c>
      <c r="B19" t="s">
        <v>16</v>
      </c>
      <c r="C19" t="s">
        <v>19</v>
      </c>
      <c r="D19" t="s">
        <v>20</v>
      </c>
      <c r="E19" t="s">
        <v>14</v>
      </c>
    </row>
    <row r="20" spans="1:5" x14ac:dyDescent="0.3">
      <c r="A20" t="s">
        <v>36</v>
      </c>
      <c r="B20" t="s">
        <v>23</v>
      </c>
      <c r="C20" t="s">
        <v>12</v>
      </c>
      <c r="D20" t="s">
        <v>13</v>
      </c>
      <c r="E20" t="s">
        <v>14</v>
      </c>
    </row>
    <row r="21" spans="1:5" x14ac:dyDescent="0.3">
      <c r="A21" t="s">
        <v>37</v>
      </c>
      <c r="B21" t="s">
        <v>16</v>
      </c>
      <c r="C21" t="s">
        <v>12</v>
      </c>
      <c r="D21" t="s">
        <v>13</v>
      </c>
      <c r="E21" t="s">
        <v>17</v>
      </c>
    </row>
    <row r="22" spans="1:5" x14ac:dyDescent="0.3">
      <c r="A22" t="s">
        <v>38</v>
      </c>
      <c r="B22" t="s">
        <v>16</v>
      </c>
      <c r="C22" t="s">
        <v>12</v>
      </c>
      <c r="D22" t="s">
        <v>13</v>
      </c>
      <c r="E22" t="s">
        <v>25</v>
      </c>
    </row>
    <row r="23" spans="1:5" x14ac:dyDescent="0.3">
      <c r="A23" t="s">
        <v>39</v>
      </c>
      <c r="B23" t="s">
        <v>16</v>
      </c>
      <c r="C23" t="s">
        <v>12</v>
      </c>
      <c r="D23" t="s">
        <v>20</v>
      </c>
      <c r="E23" t="s">
        <v>14</v>
      </c>
    </row>
    <row r="24" spans="1:5" x14ac:dyDescent="0.3">
      <c r="A24" t="s">
        <v>40</v>
      </c>
      <c r="B24" t="s">
        <v>11</v>
      </c>
      <c r="C24" t="s">
        <v>19</v>
      </c>
      <c r="D24" t="s">
        <v>13</v>
      </c>
      <c r="E24" t="s">
        <v>14</v>
      </c>
    </row>
    <row r="25" spans="1:5" x14ac:dyDescent="0.3">
      <c r="A25" t="s">
        <v>41</v>
      </c>
      <c r="B25" t="s">
        <v>11</v>
      </c>
      <c r="C25" t="s">
        <v>12</v>
      </c>
      <c r="D25" t="s">
        <v>20</v>
      </c>
      <c r="E25" t="s">
        <v>17</v>
      </c>
    </row>
    <row r="26" spans="1:5" x14ac:dyDescent="0.3">
      <c r="A26" t="s">
        <v>42</v>
      </c>
      <c r="B26" t="s">
        <v>16</v>
      </c>
      <c r="C26" t="s">
        <v>19</v>
      </c>
      <c r="D26" t="s">
        <v>13</v>
      </c>
      <c r="E26" t="s">
        <v>14</v>
      </c>
    </row>
    <row r="27" spans="1:5" x14ac:dyDescent="0.3">
      <c r="A27" t="s">
        <v>43</v>
      </c>
      <c r="B27" t="s">
        <v>11</v>
      </c>
      <c r="C27" t="s">
        <v>34</v>
      </c>
      <c r="D27" t="s">
        <v>13</v>
      </c>
      <c r="E27" t="s">
        <v>17</v>
      </c>
    </row>
    <row r="28" spans="1:5" x14ac:dyDescent="0.3">
      <c r="A28" t="s">
        <v>44</v>
      </c>
      <c r="B28" t="s">
        <v>16</v>
      </c>
      <c r="C28" t="s">
        <v>34</v>
      </c>
      <c r="D28" t="s">
        <v>13</v>
      </c>
      <c r="E28" t="s">
        <v>17</v>
      </c>
    </row>
    <row r="29" spans="1:5" x14ac:dyDescent="0.3">
      <c r="A29" t="s">
        <v>45</v>
      </c>
      <c r="B29" t="s">
        <v>11</v>
      </c>
      <c r="C29" t="s">
        <v>12</v>
      </c>
      <c r="D29" t="s">
        <v>13</v>
      </c>
      <c r="E29" t="s">
        <v>14</v>
      </c>
    </row>
    <row r="30" spans="1:5" x14ac:dyDescent="0.3">
      <c r="A30" t="s">
        <v>46</v>
      </c>
      <c r="B30" t="s">
        <v>23</v>
      </c>
      <c r="C30" t="s">
        <v>12</v>
      </c>
      <c r="D30" t="s">
        <v>13</v>
      </c>
      <c r="E30" t="s">
        <v>14</v>
      </c>
    </row>
    <row r="31" spans="1:5" x14ac:dyDescent="0.3">
      <c r="A31" t="s">
        <v>47</v>
      </c>
      <c r="B31" t="s">
        <v>11</v>
      </c>
      <c r="C31" t="s">
        <v>19</v>
      </c>
      <c r="D31" t="s">
        <v>20</v>
      </c>
      <c r="E31" t="s">
        <v>17</v>
      </c>
    </row>
    <row r="32" spans="1:5" x14ac:dyDescent="0.3">
      <c r="A32" t="s">
        <v>48</v>
      </c>
      <c r="B32" t="s">
        <v>23</v>
      </c>
      <c r="C32" t="s">
        <v>12</v>
      </c>
      <c r="D32" t="s">
        <v>13</v>
      </c>
      <c r="E32" t="s">
        <v>17</v>
      </c>
    </row>
    <row r="33" spans="1:5" x14ac:dyDescent="0.3">
      <c r="A33" t="s">
        <v>49</v>
      </c>
      <c r="B33" t="s">
        <v>23</v>
      </c>
      <c r="C33" t="s">
        <v>12</v>
      </c>
      <c r="D33" t="s">
        <v>13</v>
      </c>
      <c r="E33" t="s">
        <v>25</v>
      </c>
    </row>
    <row r="34" spans="1:5" x14ac:dyDescent="0.3">
      <c r="A34" t="s">
        <v>50</v>
      </c>
      <c r="B34" t="s">
        <v>23</v>
      </c>
      <c r="C34" t="s">
        <v>19</v>
      </c>
      <c r="D34" t="s">
        <v>13</v>
      </c>
      <c r="E34" t="s">
        <v>17</v>
      </c>
    </row>
    <row r="35" spans="1:5" x14ac:dyDescent="0.3">
      <c r="A35" t="s">
        <v>51</v>
      </c>
      <c r="B35" t="s">
        <v>11</v>
      </c>
      <c r="C35" t="s">
        <v>19</v>
      </c>
      <c r="D35" t="s">
        <v>13</v>
      </c>
      <c r="E35" t="s">
        <v>14</v>
      </c>
    </row>
    <row r="36" spans="1:5" x14ac:dyDescent="0.3">
      <c r="A36" t="s">
        <v>52</v>
      </c>
      <c r="B36" t="s">
        <v>23</v>
      </c>
      <c r="C36" t="s">
        <v>12</v>
      </c>
      <c r="D36" t="s">
        <v>20</v>
      </c>
      <c r="E36" t="s">
        <v>28</v>
      </c>
    </row>
    <row r="37" spans="1:5" x14ac:dyDescent="0.3">
      <c r="A37" t="s">
        <v>53</v>
      </c>
      <c r="B37" t="s">
        <v>11</v>
      </c>
      <c r="C37" t="s">
        <v>34</v>
      </c>
      <c r="D37" t="s">
        <v>20</v>
      </c>
      <c r="E37" t="s">
        <v>17</v>
      </c>
    </row>
    <row r="38" spans="1:5" x14ac:dyDescent="0.3">
      <c r="A38" t="s">
        <v>54</v>
      </c>
      <c r="B38" t="s">
        <v>11</v>
      </c>
      <c r="C38" t="s">
        <v>12</v>
      </c>
      <c r="D38" t="s">
        <v>13</v>
      </c>
      <c r="E38" t="s">
        <v>14</v>
      </c>
    </row>
    <row r="39" spans="1:5" x14ac:dyDescent="0.3">
      <c r="A39" t="s">
        <v>55</v>
      </c>
      <c r="B39" t="s">
        <v>23</v>
      </c>
      <c r="C39" t="s">
        <v>12</v>
      </c>
      <c r="D39" t="s">
        <v>13</v>
      </c>
      <c r="E39" t="s">
        <v>28</v>
      </c>
    </row>
    <row r="40" spans="1:5" x14ac:dyDescent="0.3">
      <c r="A40" t="s">
        <v>56</v>
      </c>
      <c r="B40" t="s">
        <v>16</v>
      </c>
      <c r="C40" t="s">
        <v>34</v>
      </c>
      <c r="D40" t="s">
        <v>13</v>
      </c>
      <c r="E40" t="s">
        <v>14</v>
      </c>
    </row>
    <row r="41" spans="1:5" x14ac:dyDescent="0.3">
      <c r="A41" t="s">
        <v>57</v>
      </c>
      <c r="B41" t="s">
        <v>11</v>
      </c>
      <c r="C41" t="s">
        <v>34</v>
      </c>
      <c r="D41" t="s">
        <v>13</v>
      </c>
      <c r="E41" t="s">
        <v>25</v>
      </c>
    </row>
    <row r="42" spans="1:5" x14ac:dyDescent="0.3">
      <c r="A42" t="s">
        <v>58</v>
      </c>
      <c r="B42" t="s">
        <v>11</v>
      </c>
      <c r="C42" t="s">
        <v>19</v>
      </c>
      <c r="D42" t="s">
        <v>13</v>
      </c>
      <c r="E42" t="s">
        <v>25</v>
      </c>
    </row>
    <row r="43" spans="1:5" x14ac:dyDescent="0.3">
      <c r="A43" t="s">
        <v>59</v>
      </c>
      <c r="B43" t="s">
        <v>11</v>
      </c>
      <c r="C43" t="s">
        <v>34</v>
      </c>
      <c r="D43" t="s">
        <v>13</v>
      </c>
      <c r="E43" t="s">
        <v>17</v>
      </c>
    </row>
    <row r="44" spans="1:5" x14ac:dyDescent="0.3">
      <c r="A44" t="s">
        <v>60</v>
      </c>
      <c r="B44" t="s">
        <v>11</v>
      </c>
      <c r="C44" t="s">
        <v>19</v>
      </c>
      <c r="D44" t="s">
        <v>13</v>
      </c>
      <c r="E44" t="s">
        <v>17</v>
      </c>
    </row>
    <row r="45" spans="1:5" x14ac:dyDescent="0.3">
      <c r="A45" t="s">
        <v>61</v>
      </c>
      <c r="B45" t="s">
        <v>11</v>
      </c>
      <c r="C45" t="s">
        <v>12</v>
      </c>
      <c r="D45" t="s">
        <v>13</v>
      </c>
      <c r="E45" t="s">
        <v>25</v>
      </c>
    </row>
    <row r="46" spans="1:5" x14ac:dyDescent="0.3">
      <c r="A46" t="s">
        <v>62</v>
      </c>
      <c r="B46" t="s">
        <v>16</v>
      </c>
      <c r="C46" t="s">
        <v>19</v>
      </c>
      <c r="D46" t="s">
        <v>13</v>
      </c>
      <c r="E46" t="s">
        <v>25</v>
      </c>
    </row>
    <row r="47" spans="1:5" x14ac:dyDescent="0.3">
      <c r="A47" t="s">
        <v>63</v>
      </c>
      <c r="B47" t="s">
        <v>16</v>
      </c>
      <c r="C47" t="s">
        <v>19</v>
      </c>
      <c r="D47" t="s">
        <v>13</v>
      </c>
      <c r="E47" t="s">
        <v>25</v>
      </c>
    </row>
    <row r="48" spans="1:5" x14ac:dyDescent="0.3">
      <c r="A48" t="s">
        <v>64</v>
      </c>
      <c r="B48" t="s">
        <v>16</v>
      </c>
      <c r="C48" t="s">
        <v>12</v>
      </c>
      <c r="D48" t="s">
        <v>13</v>
      </c>
      <c r="E48" t="s">
        <v>28</v>
      </c>
    </row>
    <row r="49" spans="1:5" x14ac:dyDescent="0.3">
      <c r="A49" t="s">
        <v>65</v>
      </c>
      <c r="B49" t="s">
        <v>16</v>
      </c>
      <c r="C49" t="s">
        <v>34</v>
      </c>
      <c r="D49" t="s">
        <v>13</v>
      </c>
      <c r="E49" t="s">
        <v>25</v>
      </c>
    </row>
    <row r="50" spans="1:5" x14ac:dyDescent="0.3">
      <c r="A50" t="s">
        <v>66</v>
      </c>
      <c r="B50" t="s">
        <v>11</v>
      </c>
      <c r="C50" t="s">
        <v>34</v>
      </c>
      <c r="D50" t="s">
        <v>13</v>
      </c>
      <c r="E50" t="s">
        <v>17</v>
      </c>
    </row>
    <row r="51" spans="1:5" x14ac:dyDescent="0.3">
      <c r="A51" t="s">
        <v>67</v>
      </c>
      <c r="B51" t="s">
        <v>11</v>
      </c>
      <c r="C51" t="s">
        <v>19</v>
      </c>
      <c r="D51" t="s">
        <v>13</v>
      </c>
      <c r="E51" t="s">
        <v>28</v>
      </c>
    </row>
    <row r="52" spans="1:5" x14ac:dyDescent="0.3">
      <c r="A52" t="s">
        <v>68</v>
      </c>
      <c r="B52" t="s">
        <v>11</v>
      </c>
      <c r="C52" t="s">
        <v>19</v>
      </c>
      <c r="D52" t="s">
        <v>13</v>
      </c>
      <c r="E52" t="s">
        <v>17</v>
      </c>
    </row>
    <row r="53" spans="1:5" x14ac:dyDescent="0.3">
      <c r="A53" t="s">
        <v>69</v>
      </c>
      <c r="B53" t="s">
        <v>16</v>
      </c>
      <c r="C53" t="s">
        <v>12</v>
      </c>
      <c r="D53" t="s">
        <v>13</v>
      </c>
      <c r="E53" t="s">
        <v>25</v>
      </c>
    </row>
    <row r="54" spans="1:5" x14ac:dyDescent="0.3">
      <c r="A54" t="s">
        <v>70</v>
      </c>
      <c r="B54" t="s">
        <v>11</v>
      </c>
      <c r="C54" t="s">
        <v>34</v>
      </c>
      <c r="D54" t="s">
        <v>13</v>
      </c>
      <c r="E54" t="s">
        <v>25</v>
      </c>
    </row>
    <row r="55" spans="1:5" x14ac:dyDescent="0.3">
      <c r="A55" t="s">
        <v>71</v>
      </c>
      <c r="B55" t="s">
        <v>11</v>
      </c>
      <c r="C55" t="s">
        <v>12</v>
      </c>
      <c r="D55" t="s">
        <v>13</v>
      </c>
      <c r="E55" t="s">
        <v>17</v>
      </c>
    </row>
    <row r="56" spans="1:5" x14ac:dyDescent="0.3">
      <c r="A56" t="s">
        <v>72</v>
      </c>
      <c r="B56" t="s">
        <v>23</v>
      </c>
      <c r="C56" t="s">
        <v>19</v>
      </c>
      <c r="D56" t="s">
        <v>13</v>
      </c>
      <c r="E56" t="s">
        <v>28</v>
      </c>
    </row>
    <row r="57" spans="1:5" x14ac:dyDescent="0.3">
      <c r="A57" t="s">
        <v>73</v>
      </c>
      <c r="B57" t="s">
        <v>11</v>
      </c>
      <c r="C57" t="s">
        <v>19</v>
      </c>
      <c r="D57" t="s">
        <v>13</v>
      </c>
      <c r="E57" t="s">
        <v>28</v>
      </c>
    </row>
    <row r="58" spans="1:5" x14ac:dyDescent="0.3">
      <c r="A58" t="s">
        <v>74</v>
      </c>
      <c r="B58" t="s">
        <v>16</v>
      </c>
      <c r="C58" t="s">
        <v>12</v>
      </c>
      <c r="D58" t="s">
        <v>13</v>
      </c>
      <c r="E58" t="s">
        <v>14</v>
      </c>
    </row>
    <row r="59" spans="1:5" x14ac:dyDescent="0.3">
      <c r="A59" t="s">
        <v>75</v>
      </c>
      <c r="B59" t="s">
        <v>23</v>
      </c>
      <c r="C59" t="s">
        <v>34</v>
      </c>
      <c r="D59" t="s">
        <v>20</v>
      </c>
      <c r="E59" t="s">
        <v>28</v>
      </c>
    </row>
    <row r="60" spans="1:5" x14ac:dyDescent="0.3">
      <c r="A60" t="s">
        <v>76</v>
      </c>
      <c r="B60" t="s">
        <v>11</v>
      </c>
      <c r="C60" t="s">
        <v>34</v>
      </c>
      <c r="D60" t="s">
        <v>13</v>
      </c>
      <c r="E60" t="s">
        <v>28</v>
      </c>
    </row>
    <row r="61" spans="1:5" x14ac:dyDescent="0.3">
      <c r="A61" t="s">
        <v>77</v>
      </c>
      <c r="B61" t="s">
        <v>11</v>
      </c>
      <c r="C61" t="s">
        <v>12</v>
      </c>
      <c r="D61" t="s">
        <v>20</v>
      </c>
      <c r="E61" t="s">
        <v>28</v>
      </c>
    </row>
    <row r="62" spans="1:5" x14ac:dyDescent="0.3">
      <c r="A62" t="s">
        <v>78</v>
      </c>
      <c r="B62" t="s">
        <v>11</v>
      </c>
      <c r="C62" t="s">
        <v>19</v>
      </c>
      <c r="D62" t="s">
        <v>13</v>
      </c>
      <c r="E62" t="s">
        <v>25</v>
      </c>
    </row>
    <row r="63" spans="1:5" x14ac:dyDescent="0.3">
      <c r="A63" t="s">
        <v>79</v>
      </c>
      <c r="B63" t="s">
        <v>23</v>
      </c>
      <c r="C63" t="s">
        <v>34</v>
      </c>
      <c r="D63" t="s">
        <v>13</v>
      </c>
      <c r="E63" t="s">
        <v>28</v>
      </c>
    </row>
    <row r="64" spans="1:5" x14ac:dyDescent="0.3">
      <c r="A64" t="s">
        <v>80</v>
      </c>
      <c r="B64" t="s">
        <v>23</v>
      </c>
      <c r="C64" t="s">
        <v>19</v>
      </c>
      <c r="D64" t="s">
        <v>20</v>
      </c>
      <c r="E64" t="s">
        <v>28</v>
      </c>
    </row>
    <row r="65" spans="1:5" x14ac:dyDescent="0.3">
      <c r="A65" t="s">
        <v>81</v>
      </c>
      <c r="B65" t="s">
        <v>16</v>
      </c>
      <c r="C65" t="s">
        <v>19</v>
      </c>
      <c r="D65" t="s">
        <v>20</v>
      </c>
      <c r="E65" t="s">
        <v>25</v>
      </c>
    </row>
    <row r="67" spans="1:5" x14ac:dyDescent="0.3">
      <c r="A67" t="s">
        <v>82</v>
      </c>
      <c r="B67">
        <f>COUNTIF(Day9Data[Priority],"High")</f>
        <v>13</v>
      </c>
    </row>
    <row r="68" spans="1:5" x14ac:dyDescent="0.3">
      <c r="A68" t="s">
        <v>83</v>
      </c>
      <c r="B68">
        <f>COUNTA(Day9Data[Ticket_ID])</f>
        <v>60</v>
      </c>
    </row>
    <row r="69" spans="1:5" x14ac:dyDescent="0.3">
      <c r="A69" t="s">
        <v>84</v>
      </c>
      <c r="B69" s="5">
        <f>B67/B68</f>
        <v>0.21666666666666667</v>
      </c>
    </row>
    <row r="71" spans="1:5" x14ac:dyDescent="0.3">
      <c r="A71" t="s">
        <v>85</v>
      </c>
      <c r="B71">
        <f>COUNTIF(Day9Data[Channel],"Email")</f>
        <v>26</v>
      </c>
    </row>
    <row r="72" spans="1:5" x14ac:dyDescent="0.3">
      <c r="A72" t="s">
        <v>83</v>
      </c>
      <c r="B72">
        <f>COUNTA(Day9Data[Ticket_ID])</f>
        <v>60</v>
      </c>
    </row>
    <row r="73" spans="1:5" x14ac:dyDescent="0.3">
      <c r="A73" t="s">
        <v>86</v>
      </c>
      <c r="B73" s="5">
        <f>B71/B72</f>
        <v>0.43333333333333335</v>
      </c>
    </row>
    <row r="75" spans="1:5" x14ac:dyDescent="0.3">
      <c r="A75" t="s">
        <v>87</v>
      </c>
      <c r="B75">
        <f>COUNTIFS(Day9Data[Channel],"Email",Day9Data[Priority],"High")</f>
        <v>7</v>
      </c>
    </row>
    <row r="76" spans="1:5" x14ac:dyDescent="0.3">
      <c r="A76" t="s">
        <v>85</v>
      </c>
      <c r="B76">
        <f>COUNTIF(Day9Data[Channel],"Email")</f>
        <v>26</v>
      </c>
    </row>
    <row r="77" spans="1:5" x14ac:dyDescent="0.3">
      <c r="A77" t="s">
        <v>88</v>
      </c>
      <c r="B77" s="5">
        <f>B75/B76</f>
        <v>0.26923076923076922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2026-05-03T14:58:51Z</dcterms:created>
  <dcterms:modified xsi:type="dcterms:W3CDTF">2026-05-03T14:59:33Z</dcterms:modified>
</cp:coreProperties>
</file>