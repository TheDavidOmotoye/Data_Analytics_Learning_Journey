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1" documentId="8_{688E460C-6111-4C0A-9F7C-4C14044E971D}" xr6:coauthVersionLast="47" xr6:coauthVersionMax="47" xr10:uidLastSave="{234715D1-662D-4EB3-BCFE-87569C8DC6DE}"/>
  <bookViews>
    <workbookView xWindow="-108" yWindow="-108" windowWidth="23256" windowHeight="12456" xr2:uid="{95E85075-C14D-4C40-B1E5-EEA29D8DB1E1}"/>
  </bookViews>
  <sheets>
    <sheet name="Day 18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B101" i="1"/>
  <c r="C102" i="1"/>
  <c r="B102" i="1"/>
  <c r="A106" i="1" l="1"/>
</calcChain>
</file>

<file path=xl/sharedStrings.xml><?xml version="1.0" encoding="utf-8"?>
<sst xmlns="http://schemas.openxmlformats.org/spreadsheetml/2006/main" count="514" uniqueCount="114">
  <si>
    <t>DAY 18: Chi-Square Testing</t>
  </si>
  <si>
    <t>Objective</t>
  </si>
  <si>
    <t>Test relationships between categorical variables.</t>
  </si>
  <si>
    <t>Suggested Practice:</t>
  </si>
  <si>
    <t>Attempt the exercises independently before reviewing guided solutions.</t>
  </si>
  <si>
    <t>Employee_ID</t>
  </si>
  <si>
    <t>Gender</t>
  </si>
  <si>
    <t>Department</t>
  </si>
  <si>
    <t>Attrition</t>
  </si>
  <si>
    <t>Promotion_Status</t>
  </si>
  <si>
    <t>Overtime</t>
  </si>
  <si>
    <t>Job_Satisfaction</t>
  </si>
  <si>
    <t>CHI-001</t>
  </si>
  <si>
    <t>Female</t>
  </si>
  <si>
    <t>Sales</t>
  </si>
  <si>
    <t>Yes</t>
  </si>
  <si>
    <t>Promoted</t>
  </si>
  <si>
    <t>No</t>
  </si>
  <si>
    <t>CHI-002</t>
  </si>
  <si>
    <t>Male</t>
  </si>
  <si>
    <t>CHI-003</t>
  </si>
  <si>
    <t>HR</t>
  </si>
  <si>
    <t>Not Promoted</t>
  </si>
  <si>
    <t>CHI-004</t>
  </si>
  <si>
    <t>Operations</t>
  </si>
  <si>
    <t>CHI-005</t>
  </si>
  <si>
    <t>CHI-006</t>
  </si>
  <si>
    <t>CHI-007</t>
  </si>
  <si>
    <t>CHI-008</t>
  </si>
  <si>
    <t>CHI-009</t>
  </si>
  <si>
    <t>Research</t>
  </si>
  <si>
    <t>CHI-010</t>
  </si>
  <si>
    <t>CHI-011</t>
  </si>
  <si>
    <t>CHI-012</t>
  </si>
  <si>
    <t>CHI-013</t>
  </si>
  <si>
    <t>CHI-014</t>
  </si>
  <si>
    <t>CHI-015</t>
  </si>
  <si>
    <t>CHI-016</t>
  </si>
  <si>
    <t>CHI-017</t>
  </si>
  <si>
    <t>CHI-018</t>
  </si>
  <si>
    <t>CHI-019</t>
  </si>
  <si>
    <t>CHI-020</t>
  </si>
  <si>
    <t>CHI-021</t>
  </si>
  <si>
    <t>CHI-022</t>
  </si>
  <si>
    <t>CHI-023</t>
  </si>
  <si>
    <t>CHI-024</t>
  </si>
  <si>
    <t>CHI-025</t>
  </si>
  <si>
    <t>CHI-026</t>
  </si>
  <si>
    <t>CHI-027</t>
  </si>
  <si>
    <t>CHI-028</t>
  </si>
  <si>
    <t>CHI-029</t>
  </si>
  <si>
    <t>CHI-030</t>
  </si>
  <si>
    <t>CHI-031</t>
  </si>
  <si>
    <t>CHI-032</t>
  </si>
  <si>
    <t>CHI-033</t>
  </si>
  <si>
    <t>CHI-034</t>
  </si>
  <si>
    <t>CHI-035</t>
  </si>
  <si>
    <t>CHI-036</t>
  </si>
  <si>
    <t>CHI-037</t>
  </si>
  <si>
    <t>CHI-038</t>
  </si>
  <si>
    <t>CHI-039</t>
  </si>
  <si>
    <t>CHI-040</t>
  </si>
  <si>
    <t>CHI-041</t>
  </si>
  <si>
    <t>CHI-042</t>
  </si>
  <si>
    <t>CHI-043</t>
  </si>
  <si>
    <t>CHI-044</t>
  </si>
  <si>
    <t>CHI-045</t>
  </si>
  <si>
    <t>CHI-046</t>
  </si>
  <si>
    <t>CHI-047</t>
  </si>
  <si>
    <t>CHI-048</t>
  </si>
  <si>
    <t>CHI-049</t>
  </si>
  <si>
    <t>CHI-050</t>
  </si>
  <si>
    <t>CHI-051</t>
  </si>
  <si>
    <t>CHI-052</t>
  </si>
  <si>
    <t>CHI-053</t>
  </si>
  <si>
    <t>CHI-054</t>
  </si>
  <si>
    <t>CHI-055</t>
  </si>
  <si>
    <t>CHI-056</t>
  </si>
  <si>
    <t>CHI-057</t>
  </si>
  <si>
    <t>CHI-058</t>
  </si>
  <si>
    <t>CHI-059</t>
  </si>
  <si>
    <t>CHI-060</t>
  </si>
  <si>
    <t>CHI-061</t>
  </si>
  <si>
    <t>CHI-062</t>
  </si>
  <si>
    <t>CHI-063</t>
  </si>
  <si>
    <t>CHI-064</t>
  </si>
  <si>
    <t>CHI-065</t>
  </si>
  <si>
    <t>CHI-066</t>
  </si>
  <si>
    <t>CHI-067</t>
  </si>
  <si>
    <t>CHI-068</t>
  </si>
  <si>
    <t>CHI-069</t>
  </si>
  <si>
    <t>CHI-070</t>
  </si>
  <si>
    <t>CHI-071</t>
  </si>
  <si>
    <t>CHI-072</t>
  </si>
  <si>
    <t>CHI-073</t>
  </si>
  <si>
    <t>CHI-074</t>
  </si>
  <si>
    <t>CHI-075</t>
  </si>
  <si>
    <t>CHI-076</t>
  </si>
  <si>
    <t>CHI-077</t>
  </si>
  <si>
    <t>CHI-078</t>
  </si>
  <si>
    <t>CHI-079</t>
  </si>
  <si>
    <t>CHI-080</t>
  </si>
  <si>
    <t>Hypotheses</t>
  </si>
  <si>
    <r>
      <t>H</t>
    </r>
    <r>
      <rPr>
        <sz val="11"/>
        <rFont val="Aptos Narrow"/>
        <family val="2"/>
      </rPr>
      <t>₀</t>
    </r>
    <r>
      <rPr>
        <sz val="11"/>
        <rFont val="Carlito"/>
      </rPr>
      <t>: Overtime and Attrition are independent.</t>
    </r>
  </si>
  <si>
    <r>
      <t>H</t>
    </r>
    <r>
      <rPr>
        <sz val="11"/>
        <rFont val="Cascadia Code"/>
        <family val="3"/>
      </rPr>
      <t>₁</t>
    </r>
    <r>
      <rPr>
        <sz val="11"/>
        <rFont val="Carlito"/>
      </rPr>
      <t>: Overtime and Attrition are significantly related.</t>
    </r>
  </si>
  <si>
    <t>Observed Grequency Table</t>
  </si>
  <si>
    <t>Count of Employee_ID</t>
  </si>
  <si>
    <t>Column Labels</t>
  </si>
  <si>
    <t>Row Labels</t>
  </si>
  <si>
    <t>Grand Total</t>
  </si>
  <si>
    <t>Expected Frequency Table</t>
  </si>
  <si>
    <t>p-Value</t>
  </si>
  <si>
    <t xml:space="preserve">Decision: Fail to reject null hypothesis, since p-value &gt; than 0.05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</si>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</sst>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Aptos Narrow"/>
      <family val="2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alignment wrapText="0"/>
    </dxf>
    <dxf>
      <alignment wrapText="0"/>
    </dxf>
    <dxf>
      <alignment wrapText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Omotoye" refreshedDate="46156.284176504632" createdVersion="8" refreshedVersion="8" minRefreshableVersion="3" recordCount="80" xr:uid="{388D83A9-DC96-46F8-901A-8C9567AB3D37}">
  <cacheSource type="worksheet">
    <worksheetSource name="Table9" r:id="rId2"/>
  </cacheSource>
  <cacheFields count="7">
    <cacheField name="Employee_ID" numFmtId="0">
      <sharedItems/>
    </cacheField>
    <cacheField name="Gender" numFmtId="0">
      <sharedItems/>
    </cacheField>
    <cacheField name="Department" numFmtId="0">
      <sharedItems/>
    </cacheField>
    <cacheField name="Attrition" numFmtId="0">
      <sharedItems count="2">
        <s v="Yes"/>
        <s v="No"/>
      </sharedItems>
    </cacheField>
    <cacheField name="Promotion_Status" numFmtId="0">
      <sharedItems/>
    </cacheField>
    <cacheField name="Overtime" numFmtId="0">
      <sharedItems count="2">
        <s v="No"/>
        <s v="Yes"/>
      </sharedItems>
    </cacheField>
    <cacheField name="Job_Satisfaction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HI-001"/>
    <s v="Female"/>
    <s v="Sales"/>
    <x v="0"/>
    <s v="Promoted"/>
    <x v="0"/>
    <n v="2"/>
  </r>
  <r>
    <s v="CHI-002"/>
    <s v="Male"/>
    <s v="Sales"/>
    <x v="1"/>
    <s v="Promoted"/>
    <x v="1"/>
    <n v="3"/>
  </r>
  <r>
    <s v="CHI-003"/>
    <s v="Female"/>
    <s v="HR"/>
    <x v="1"/>
    <s v="Not Promoted"/>
    <x v="0"/>
    <n v="1"/>
  </r>
  <r>
    <s v="CHI-004"/>
    <s v="Male"/>
    <s v="Operations"/>
    <x v="1"/>
    <s v="Not Promoted"/>
    <x v="1"/>
    <n v="2"/>
  </r>
  <r>
    <s v="CHI-005"/>
    <s v="Female"/>
    <s v="Sales"/>
    <x v="1"/>
    <s v="Not Promoted"/>
    <x v="1"/>
    <n v="3"/>
  </r>
  <r>
    <s v="CHI-006"/>
    <s v="Male"/>
    <s v="Sales"/>
    <x v="1"/>
    <s v="Not Promoted"/>
    <x v="0"/>
    <n v="4"/>
  </r>
  <r>
    <s v="CHI-007"/>
    <s v="Male"/>
    <s v="HR"/>
    <x v="0"/>
    <s v="Not Promoted"/>
    <x v="1"/>
    <n v="4"/>
  </r>
  <r>
    <s v="CHI-008"/>
    <s v="Female"/>
    <s v="Sales"/>
    <x v="0"/>
    <s v="Not Promoted"/>
    <x v="1"/>
    <n v="1"/>
  </r>
  <r>
    <s v="CHI-009"/>
    <s v="Male"/>
    <s v="Research"/>
    <x v="1"/>
    <s v="Not Promoted"/>
    <x v="0"/>
    <n v="4"/>
  </r>
  <r>
    <s v="CHI-010"/>
    <s v="Male"/>
    <s v="HR"/>
    <x v="1"/>
    <s v="Not Promoted"/>
    <x v="0"/>
    <n v="2"/>
  </r>
  <r>
    <s v="CHI-011"/>
    <s v="Male"/>
    <s v="Operations"/>
    <x v="0"/>
    <s v="Not Promoted"/>
    <x v="0"/>
    <n v="1"/>
  </r>
  <r>
    <s v="CHI-012"/>
    <s v="Female"/>
    <s v="HR"/>
    <x v="1"/>
    <s v="Not Promoted"/>
    <x v="0"/>
    <n v="2"/>
  </r>
  <r>
    <s v="CHI-013"/>
    <s v="Male"/>
    <s v="Sales"/>
    <x v="1"/>
    <s v="Not Promoted"/>
    <x v="0"/>
    <n v="4"/>
  </r>
  <r>
    <s v="CHI-014"/>
    <s v="Male"/>
    <s v="Sales"/>
    <x v="1"/>
    <s v="Not Promoted"/>
    <x v="1"/>
    <n v="3"/>
  </r>
  <r>
    <s v="CHI-015"/>
    <s v="Female"/>
    <s v="Operations"/>
    <x v="1"/>
    <s v="Not Promoted"/>
    <x v="0"/>
    <n v="2"/>
  </r>
  <r>
    <s v="CHI-016"/>
    <s v="Male"/>
    <s v="HR"/>
    <x v="1"/>
    <s v="Not Promoted"/>
    <x v="1"/>
    <n v="4"/>
  </r>
  <r>
    <s v="CHI-017"/>
    <s v="Male"/>
    <s v="Operations"/>
    <x v="1"/>
    <s v="Not Promoted"/>
    <x v="0"/>
    <n v="2"/>
  </r>
  <r>
    <s v="CHI-018"/>
    <s v="Male"/>
    <s v="Sales"/>
    <x v="1"/>
    <s v="Not Promoted"/>
    <x v="0"/>
    <n v="4"/>
  </r>
  <r>
    <s v="CHI-019"/>
    <s v="Male"/>
    <s v="Research"/>
    <x v="1"/>
    <s v="Not Promoted"/>
    <x v="0"/>
    <n v="3"/>
  </r>
  <r>
    <s v="CHI-020"/>
    <s v="Male"/>
    <s v="Sales"/>
    <x v="0"/>
    <s v="Not Promoted"/>
    <x v="0"/>
    <n v="4"/>
  </r>
  <r>
    <s v="CHI-021"/>
    <s v="Female"/>
    <s v="Operations"/>
    <x v="0"/>
    <s v="Not Promoted"/>
    <x v="0"/>
    <n v="3"/>
  </r>
  <r>
    <s v="CHI-022"/>
    <s v="Male"/>
    <s v="Operations"/>
    <x v="1"/>
    <s v="Promoted"/>
    <x v="1"/>
    <n v="2"/>
  </r>
  <r>
    <s v="CHI-023"/>
    <s v="Male"/>
    <s v="Sales"/>
    <x v="0"/>
    <s v="Promoted"/>
    <x v="0"/>
    <n v="3"/>
  </r>
  <r>
    <s v="CHI-024"/>
    <s v="Female"/>
    <s v="Sales"/>
    <x v="0"/>
    <s v="Not Promoted"/>
    <x v="0"/>
    <n v="1"/>
  </r>
  <r>
    <s v="CHI-025"/>
    <s v="Female"/>
    <s v="Sales"/>
    <x v="1"/>
    <s v="Promoted"/>
    <x v="1"/>
    <n v="4"/>
  </r>
  <r>
    <s v="CHI-026"/>
    <s v="Female"/>
    <s v="Operations"/>
    <x v="1"/>
    <s v="Promoted"/>
    <x v="0"/>
    <n v="4"/>
  </r>
  <r>
    <s v="CHI-027"/>
    <s v="Male"/>
    <s v="HR"/>
    <x v="0"/>
    <s v="Not Promoted"/>
    <x v="1"/>
    <n v="1"/>
  </r>
  <r>
    <s v="CHI-028"/>
    <s v="Female"/>
    <s v="HR"/>
    <x v="0"/>
    <s v="Not Promoted"/>
    <x v="0"/>
    <n v="2"/>
  </r>
  <r>
    <s v="CHI-029"/>
    <s v="Female"/>
    <s v="Sales"/>
    <x v="0"/>
    <s v="Not Promoted"/>
    <x v="1"/>
    <n v="1"/>
  </r>
  <r>
    <s v="CHI-030"/>
    <s v="Male"/>
    <s v="HR"/>
    <x v="1"/>
    <s v="Not Promoted"/>
    <x v="0"/>
    <n v="3"/>
  </r>
  <r>
    <s v="CHI-031"/>
    <s v="Female"/>
    <s v="HR"/>
    <x v="1"/>
    <s v="Not Promoted"/>
    <x v="1"/>
    <n v="3"/>
  </r>
  <r>
    <s v="CHI-032"/>
    <s v="Female"/>
    <s v="Research"/>
    <x v="1"/>
    <s v="Not Promoted"/>
    <x v="0"/>
    <n v="1"/>
  </r>
  <r>
    <s v="CHI-033"/>
    <s v="Female"/>
    <s v="Operations"/>
    <x v="1"/>
    <s v="Not Promoted"/>
    <x v="0"/>
    <n v="4"/>
  </r>
  <r>
    <s v="CHI-034"/>
    <s v="Male"/>
    <s v="Research"/>
    <x v="1"/>
    <s v="Not Promoted"/>
    <x v="0"/>
    <n v="2"/>
  </r>
  <r>
    <s v="CHI-035"/>
    <s v="Female"/>
    <s v="Operations"/>
    <x v="1"/>
    <s v="Promoted"/>
    <x v="0"/>
    <n v="2"/>
  </r>
  <r>
    <s v="CHI-036"/>
    <s v="Female"/>
    <s v="HR"/>
    <x v="1"/>
    <s v="Not Promoted"/>
    <x v="0"/>
    <n v="1"/>
  </r>
  <r>
    <s v="CHI-037"/>
    <s v="Female"/>
    <s v="Research"/>
    <x v="0"/>
    <s v="Not Promoted"/>
    <x v="1"/>
    <n v="4"/>
  </r>
  <r>
    <s v="CHI-038"/>
    <s v="Female"/>
    <s v="Operations"/>
    <x v="0"/>
    <s v="Not Promoted"/>
    <x v="0"/>
    <n v="3"/>
  </r>
  <r>
    <s v="CHI-039"/>
    <s v="Female"/>
    <s v="Research"/>
    <x v="1"/>
    <s v="Promoted"/>
    <x v="0"/>
    <n v="2"/>
  </r>
  <r>
    <s v="CHI-040"/>
    <s v="Male"/>
    <s v="Operations"/>
    <x v="1"/>
    <s v="Not Promoted"/>
    <x v="0"/>
    <n v="3"/>
  </r>
  <r>
    <s v="CHI-041"/>
    <s v="Male"/>
    <s v="Research"/>
    <x v="0"/>
    <s v="Promoted"/>
    <x v="0"/>
    <n v="2"/>
  </r>
  <r>
    <s v="CHI-042"/>
    <s v="Male"/>
    <s v="Operations"/>
    <x v="1"/>
    <s v="Not Promoted"/>
    <x v="0"/>
    <n v="3"/>
  </r>
  <r>
    <s v="CHI-043"/>
    <s v="Male"/>
    <s v="HR"/>
    <x v="0"/>
    <s v="Promoted"/>
    <x v="0"/>
    <n v="4"/>
  </r>
  <r>
    <s v="CHI-044"/>
    <s v="Female"/>
    <s v="HR"/>
    <x v="1"/>
    <s v="Not Promoted"/>
    <x v="0"/>
    <n v="1"/>
  </r>
  <r>
    <s v="CHI-045"/>
    <s v="Female"/>
    <s v="Sales"/>
    <x v="0"/>
    <s v="Not Promoted"/>
    <x v="1"/>
    <n v="3"/>
  </r>
  <r>
    <s v="CHI-046"/>
    <s v="Female"/>
    <s v="Operations"/>
    <x v="1"/>
    <s v="Not Promoted"/>
    <x v="1"/>
    <n v="3"/>
  </r>
  <r>
    <s v="CHI-047"/>
    <s v="Male"/>
    <s v="Sales"/>
    <x v="1"/>
    <s v="Not Promoted"/>
    <x v="0"/>
    <n v="2"/>
  </r>
  <r>
    <s v="CHI-048"/>
    <s v="Male"/>
    <s v="Research"/>
    <x v="1"/>
    <s v="Promoted"/>
    <x v="1"/>
    <n v="4"/>
  </r>
  <r>
    <s v="CHI-049"/>
    <s v="Female"/>
    <s v="Sales"/>
    <x v="1"/>
    <s v="Not Promoted"/>
    <x v="0"/>
    <n v="2"/>
  </r>
  <r>
    <s v="CHI-050"/>
    <s v="Female"/>
    <s v="Operations"/>
    <x v="1"/>
    <s v="Not Promoted"/>
    <x v="0"/>
    <n v="3"/>
  </r>
  <r>
    <s v="CHI-051"/>
    <s v="Female"/>
    <s v="HR"/>
    <x v="1"/>
    <s v="Not Promoted"/>
    <x v="0"/>
    <n v="2"/>
  </r>
  <r>
    <s v="CHI-052"/>
    <s v="Female"/>
    <s v="Research"/>
    <x v="1"/>
    <s v="Not Promoted"/>
    <x v="0"/>
    <n v="2"/>
  </r>
  <r>
    <s v="CHI-053"/>
    <s v="Female"/>
    <s v="HR"/>
    <x v="0"/>
    <s v="Not Promoted"/>
    <x v="1"/>
    <n v="2"/>
  </r>
  <r>
    <s v="CHI-054"/>
    <s v="Female"/>
    <s v="HR"/>
    <x v="1"/>
    <s v="Not Promoted"/>
    <x v="0"/>
    <n v="3"/>
  </r>
  <r>
    <s v="CHI-055"/>
    <s v="Male"/>
    <s v="Sales"/>
    <x v="1"/>
    <s v="Not Promoted"/>
    <x v="0"/>
    <n v="3"/>
  </r>
  <r>
    <s v="CHI-056"/>
    <s v="Male"/>
    <s v="Operations"/>
    <x v="1"/>
    <s v="Promoted"/>
    <x v="0"/>
    <n v="1"/>
  </r>
  <r>
    <s v="CHI-057"/>
    <s v="Female"/>
    <s v="Operations"/>
    <x v="1"/>
    <s v="Not Promoted"/>
    <x v="0"/>
    <n v="2"/>
  </r>
  <r>
    <s v="CHI-058"/>
    <s v="Male"/>
    <s v="HR"/>
    <x v="1"/>
    <s v="Not Promoted"/>
    <x v="1"/>
    <n v="2"/>
  </r>
  <r>
    <s v="CHI-059"/>
    <s v="Male"/>
    <s v="HR"/>
    <x v="1"/>
    <s v="Not Promoted"/>
    <x v="1"/>
    <n v="4"/>
  </r>
  <r>
    <s v="CHI-060"/>
    <s v="Male"/>
    <s v="HR"/>
    <x v="1"/>
    <s v="Not Promoted"/>
    <x v="0"/>
    <n v="3"/>
  </r>
  <r>
    <s v="CHI-061"/>
    <s v="Male"/>
    <s v="Operations"/>
    <x v="1"/>
    <s v="Promoted"/>
    <x v="0"/>
    <n v="3"/>
  </r>
  <r>
    <s v="CHI-062"/>
    <s v="Female"/>
    <s v="HR"/>
    <x v="1"/>
    <s v="Promoted"/>
    <x v="0"/>
    <n v="4"/>
  </r>
  <r>
    <s v="CHI-063"/>
    <s v="Female"/>
    <s v="HR"/>
    <x v="1"/>
    <s v="Not Promoted"/>
    <x v="1"/>
    <n v="4"/>
  </r>
  <r>
    <s v="CHI-064"/>
    <s v="Male"/>
    <s v="HR"/>
    <x v="1"/>
    <s v="Not Promoted"/>
    <x v="0"/>
    <n v="2"/>
  </r>
  <r>
    <s v="CHI-065"/>
    <s v="Female"/>
    <s v="HR"/>
    <x v="0"/>
    <s v="Not Promoted"/>
    <x v="0"/>
    <n v="1"/>
  </r>
  <r>
    <s v="CHI-066"/>
    <s v="Male"/>
    <s v="HR"/>
    <x v="1"/>
    <s v="Not Promoted"/>
    <x v="1"/>
    <n v="2"/>
  </r>
  <r>
    <s v="CHI-067"/>
    <s v="Female"/>
    <s v="Operations"/>
    <x v="0"/>
    <s v="Not Promoted"/>
    <x v="1"/>
    <n v="3"/>
  </r>
  <r>
    <s v="CHI-068"/>
    <s v="Male"/>
    <s v="Operations"/>
    <x v="0"/>
    <s v="Not Promoted"/>
    <x v="1"/>
    <n v="1"/>
  </r>
  <r>
    <s v="CHI-069"/>
    <s v="Female"/>
    <s v="Research"/>
    <x v="1"/>
    <s v="Not Promoted"/>
    <x v="0"/>
    <n v="4"/>
  </r>
  <r>
    <s v="CHI-070"/>
    <s v="Male"/>
    <s v="HR"/>
    <x v="1"/>
    <s v="Not Promoted"/>
    <x v="0"/>
    <n v="3"/>
  </r>
  <r>
    <s v="CHI-071"/>
    <s v="Female"/>
    <s v="Sales"/>
    <x v="0"/>
    <s v="Not Promoted"/>
    <x v="1"/>
    <n v="3"/>
  </r>
  <r>
    <s v="CHI-072"/>
    <s v="Male"/>
    <s v="Operations"/>
    <x v="1"/>
    <s v="Not Promoted"/>
    <x v="1"/>
    <n v="2"/>
  </r>
  <r>
    <s v="CHI-073"/>
    <s v="Male"/>
    <s v="HR"/>
    <x v="1"/>
    <s v="Not Promoted"/>
    <x v="0"/>
    <n v="4"/>
  </r>
  <r>
    <s v="CHI-074"/>
    <s v="Male"/>
    <s v="Research"/>
    <x v="1"/>
    <s v="Not Promoted"/>
    <x v="0"/>
    <n v="2"/>
  </r>
  <r>
    <s v="CHI-075"/>
    <s v="Male"/>
    <s v="Research"/>
    <x v="1"/>
    <s v="Not Promoted"/>
    <x v="1"/>
    <n v="4"/>
  </r>
  <r>
    <s v="CHI-076"/>
    <s v="Female"/>
    <s v="Operations"/>
    <x v="1"/>
    <s v="Not Promoted"/>
    <x v="1"/>
    <n v="2"/>
  </r>
  <r>
    <s v="CHI-077"/>
    <s v="Male"/>
    <s v="Research"/>
    <x v="1"/>
    <s v="Promoted"/>
    <x v="0"/>
    <n v="3"/>
  </r>
  <r>
    <s v="CHI-078"/>
    <s v="Male"/>
    <s v="Research"/>
    <x v="0"/>
    <s v="Not Promoted"/>
    <x v="1"/>
    <n v="2"/>
  </r>
  <r>
    <s v="CHI-079"/>
    <s v="Female"/>
    <s v="Sales"/>
    <x v="0"/>
    <s v="Promoted"/>
    <x v="1"/>
    <n v="4"/>
  </r>
  <r>
    <s v="CHI-080"/>
    <s v="Female"/>
    <s v="HR"/>
    <x v="1"/>
    <s v="Not Promoted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F7A99-1139-4096-8436-99BA6634B1A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D96" firstHeaderRow="1" firstDataRow="2" firstDataCol="1"/>
  <pivotFields count="7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formats count="3">
    <format dxfId="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EA54D-0F17-4F1A-BBA0-5C15758C6E18}" name="Table9" displayName="Table9" ref="A5:G85" totalsRowShown="0" headerRowDxfId="11" dataDxfId="10">
  <autoFilter ref="A5:G85" xr:uid="{A9809BFB-9D13-4C5A-9906-F8847A7EF0D0}"/>
  <tableColumns count="7">
    <tableColumn id="1" xr3:uid="{44E3611F-974E-430C-B6B9-EE64BF492CA5}" name="Employee_ID" dataDxfId="9"/>
    <tableColumn id="2" xr3:uid="{A24A34C7-B524-49DC-9DF5-1FE3A560F8DE}" name="Gender" dataDxfId="5"/>
    <tableColumn id="3" xr3:uid="{6512AB2C-AC00-4200-921E-E3B33BFD1798}" name="Department" dataDxfId="3"/>
    <tableColumn id="4" xr3:uid="{442A5132-A766-4E64-B322-3AC29E084D14}" name="Attrition" dataDxfId="4"/>
    <tableColumn id="5" xr3:uid="{A31C7C11-5CD6-4CCB-BEAE-EEBFFAACC6A7}" name="Promotion_Status" dataDxfId="8"/>
    <tableColumn id="6" xr3:uid="{A9DA15C3-80A9-42FB-A02D-2004686D3AD0}" name="Overtime" dataDxfId="7"/>
    <tableColumn id="7" xr3:uid="{50EAFE63-CFC5-4BC4-93BA-5ABF1A6EEB63}" name="Job_Satisfact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923B-8598-4EA6-A53C-BECA9E4B1C45}">
  <dimension ref="A1:G108"/>
  <sheetViews>
    <sheetView tabSelected="1" topLeftCell="A12" workbookViewId="0">
      <selection activeCell="G3" sqref="G3"/>
    </sheetView>
  </sheetViews>
  <sheetFormatPr defaultRowHeight="13.8"/>
  <cols>
    <col min="1" max="1" width="20.69921875" bestFit="1" customWidth="1"/>
    <col min="2" max="2" width="16.09765625" bestFit="1" customWidth="1"/>
    <col min="3" max="3" width="15.19921875" style="8" bestFit="1" customWidth="1"/>
    <col min="4" max="4" width="11.8984375" bestFit="1" customWidth="1"/>
    <col min="5" max="5" width="20" customWidth="1"/>
    <col min="6" max="6" width="13.09765625" bestFit="1" customWidth="1"/>
    <col min="7" max="7" width="19.3984375" bestFit="1" customWidth="1"/>
  </cols>
  <sheetData>
    <row r="1" spans="1:7" ht="17.399999999999999">
      <c r="A1" s="1" t="s">
        <v>0</v>
      </c>
      <c r="B1" s="2"/>
      <c r="C1" s="1"/>
      <c r="D1" s="2"/>
      <c r="E1" s="2"/>
      <c r="F1" s="2"/>
      <c r="G1" s="2"/>
    </row>
    <row r="2" spans="1:7" ht="69">
      <c r="A2" s="3" t="s">
        <v>1</v>
      </c>
      <c r="B2" s="3" t="s">
        <v>2</v>
      </c>
      <c r="D2" s="4"/>
      <c r="E2" s="4"/>
      <c r="F2" s="4"/>
      <c r="G2" s="4"/>
    </row>
    <row r="3" spans="1:7" ht="69">
      <c r="A3" s="3" t="s">
        <v>3</v>
      </c>
      <c r="B3" s="3" t="s">
        <v>4</v>
      </c>
      <c r="D3" s="4" t="s">
        <v>113</v>
      </c>
      <c r="E3" s="4"/>
      <c r="F3" s="4"/>
      <c r="G3" s="4"/>
    </row>
    <row r="4" spans="1:7">
      <c r="A4" s="5"/>
      <c r="B4" s="5"/>
      <c r="D4" s="4"/>
      <c r="E4" s="4"/>
      <c r="F4" s="4"/>
      <c r="G4" s="4"/>
    </row>
    <row r="5" spans="1:7">
      <c r="A5" s="6" t="s">
        <v>5</v>
      </c>
      <c r="B5" s="6" t="s">
        <v>6</v>
      </c>
      <c r="C5" s="9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8" t="s">
        <v>14</v>
      </c>
      <c r="D6" s="4" t="s">
        <v>15</v>
      </c>
      <c r="E6" s="4" t="s">
        <v>16</v>
      </c>
      <c r="F6" s="4" t="s">
        <v>17</v>
      </c>
      <c r="G6" s="4">
        <v>2</v>
      </c>
    </row>
    <row r="7" spans="1:7">
      <c r="A7" s="4" t="s">
        <v>18</v>
      </c>
      <c r="B7" s="4" t="s">
        <v>19</v>
      </c>
      <c r="C7" s="8" t="s">
        <v>14</v>
      </c>
      <c r="D7" s="4" t="s">
        <v>17</v>
      </c>
      <c r="E7" s="4" t="s">
        <v>16</v>
      </c>
      <c r="F7" s="4" t="s">
        <v>15</v>
      </c>
      <c r="G7" s="4">
        <v>3</v>
      </c>
    </row>
    <row r="8" spans="1:7">
      <c r="A8" s="4" t="s">
        <v>20</v>
      </c>
      <c r="B8" s="4" t="s">
        <v>13</v>
      </c>
      <c r="C8" s="8" t="s">
        <v>21</v>
      </c>
      <c r="D8" s="4" t="s">
        <v>17</v>
      </c>
      <c r="E8" s="4" t="s">
        <v>22</v>
      </c>
      <c r="F8" s="4" t="s">
        <v>17</v>
      </c>
      <c r="G8" s="4">
        <v>1</v>
      </c>
    </row>
    <row r="9" spans="1:7">
      <c r="A9" s="4" t="s">
        <v>23</v>
      </c>
      <c r="B9" s="4" t="s">
        <v>19</v>
      </c>
      <c r="C9" s="8" t="s">
        <v>24</v>
      </c>
      <c r="D9" s="4" t="s">
        <v>17</v>
      </c>
      <c r="E9" s="4" t="s">
        <v>22</v>
      </c>
      <c r="F9" s="4" t="s">
        <v>15</v>
      </c>
      <c r="G9" s="4">
        <v>2</v>
      </c>
    </row>
    <row r="10" spans="1:7">
      <c r="A10" s="4" t="s">
        <v>25</v>
      </c>
      <c r="B10" s="4" t="s">
        <v>13</v>
      </c>
      <c r="C10" s="8" t="s">
        <v>14</v>
      </c>
      <c r="D10" s="4" t="s">
        <v>17</v>
      </c>
      <c r="E10" s="4" t="s">
        <v>22</v>
      </c>
      <c r="F10" s="4" t="s">
        <v>15</v>
      </c>
      <c r="G10" s="4">
        <v>3</v>
      </c>
    </row>
    <row r="11" spans="1:7">
      <c r="A11" s="4" t="s">
        <v>26</v>
      </c>
      <c r="B11" s="4" t="s">
        <v>19</v>
      </c>
      <c r="C11" s="8" t="s">
        <v>14</v>
      </c>
      <c r="D11" s="4" t="s">
        <v>17</v>
      </c>
      <c r="E11" s="4" t="s">
        <v>22</v>
      </c>
      <c r="F11" s="4" t="s">
        <v>17</v>
      </c>
      <c r="G11" s="4">
        <v>4</v>
      </c>
    </row>
    <row r="12" spans="1:7">
      <c r="A12" s="4" t="s">
        <v>27</v>
      </c>
      <c r="B12" s="4" t="s">
        <v>19</v>
      </c>
      <c r="C12" s="8" t="s">
        <v>21</v>
      </c>
      <c r="D12" s="4" t="s">
        <v>15</v>
      </c>
      <c r="E12" s="4" t="s">
        <v>22</v>
      </c>
      <c r="F12" s="4" t="s">
        <v>15</v>
      </c>
      <c r="G12" s="4">
        <v>4</v>
      </c>
    </row>
    <row r="13" spans="1:7">
      <c r="A13" s="4" t="s">
        <v>28</v>
      </c>
      <c r="B13" s="4" t="s">
        <v>13</v>
      </c>
      <c r="C13" s="8" t="s">
        <v>14</v>
      </c>
      <c r="D13" s="4" t="s">
        <v>15</v>
      </c>
      <c r="E13" s="4" t="s">
        <v>22</v>
      </c>
      <c r="F13" s="4" t="s">
        <v>15</v>
      </c>
      <c r="G13" s="4">
        <v>1</v>
      </c>
    </row>
    <row r="14" spans="1:7">
      <c r="A14" s="4" t="s">
        <v>29</v>
      </c>
      <c r="B14" s="4" t="s">
        <v>19</v>
      </c>
      <c r="C14" s="8" t="s">
        <v>30</v>
      </c>
      <c r="D14" s="4" t="s">
        <v>17</v>
      </c>
      <c r="E14" s="4" t="s">
        <v>22</v>
      </c>
      <c r="F14" s="4" t="s">
        <v>17</v>
      </c>
      <c r="G14" s="4">
        <v>4</v>
      </c>
    </row>
    <row r="15" spans="1:7">
      <c r="A15" s="4" t="s">
        <v>31</v>
      </c>
      <c r="B15" s="4" t="s">
        <v>19</v>
      </c>
      <c r="C15" s="8" t="s">
        <v>21</v>
      </c>
      <c r="D15" s="4" t="s">
        <v>17</v>
      </c>
      <c r="E15" s="4" t="s">
        <v>22</v>
      </c>
      <c r="F15" s="4" t="s">
        <v>17</v>
      </c>
      <c r="G15" s="4">
        <v>2</v>
      </c>
    </row>
    <row r="16" spans="1:7">
      <c r="A16" s="4" t="s">
        <v>32</v>
      </c>
      <c r="B16" s="4" t="s">
        <v>19</v>
      </c>
      <c r="C16" s="8" t="s">
        <v>24</v>
      </c>
      <c r="D16" s="4" t="s">
        <v>15</v>
      </c>
      <c r="E16" s="4" t="s">
        <v>22</v>
      </c>
      <c r="F16" s="4" t="s">
        <v>17</v>
      </c>
      <c r="G16" s="4">
        <v>1</v>
      </c>
    </row>
    <row r="17" spans="1:7">
      <c r="A17" s="4" t="s">
        <v>33</v>
      </c>
      <c r="B17" s="4" t="s">
        <v>13</v>
      </c>
      <c r="C17" s="8" t="s">
        <v>21</v>
      </c>
      <c r="D17" s="4" t="s">
        <v>17</v>
      </c>
      <c r="E17" s="4" t="s">
        <v>22</v>
      </c>
      <c r="F17" s="4" t="s">
        <v>17</v>
      </c>
      <c r="G17" s="4">
        <v>2</v>
      </c>
    </row>
    <row r="18" spans="1:7">
      <c r="A18" s="4" t="s">
        <v>34</v>
      </c>
      <c r="B18" s="4" t="s">
        <v>19</v>
      </c>
      <c r="C18" s="8" t="s">
        <v>14</v>
      </c>
      <c r="D18" s="4" t="s">
        <v>17</v>
      </c>
      <c r="E18" s="4" t="s">
        <v>22</v>
      </c>
      <c r="F18" s="4" t="s">
        <v>17</v>
      </c>
      <c r="G18" s="4">
        <v>4</v>
      </c>
    </row>
    <row r="19" spans="1:7">
      <c r="A19" s="4" t="s">
        <v>35</v>
      </c>
      <c r="B19" s="4" t="s">
        <v>19</v>
      </c>
      <c r="C19" s="8" t="s">
        <v>14</v>
      </c>
      <c r="D19" s="4" t="s">
        <v>17</v>
      </c>
      <c r="E19" s="4" t="s">
        <v>22</v>
      </c>
      <c r="F19" s="4" t="s">
        <v>15</v>
      </c>
      <c r="G19" s="4">
        <v>3</v>
      </c>
    </row>
    <row r="20" spans="1:7">
      <c r="A20" s="4" t="s">
        <v>36</v>
      </c>
      <c r="B20" s="4" t="s">
        <v>13</v>
      </c>
      <c r="C20" s="8" t="s">
        <v>24</v>
      </c>
      <c r="D20" s="4" t="s">
        <v>17</v>
      </c>
      <c r="E20" s="4" t="s">
        <v>22</v>
      </c>
      <c r="F20" s="4" t="s">
        <v>17</v>
      </c>
      <c r="G20" s="4">
        <v>2</v>
      </c>
    </row>
    <row r="21" spans="1:7">
      <c r="A21" s="4" t="s">
        <v>37</v>
      </c>
      <c r="B21" s="4" t="s">
        <v>19</v>
      </c>
      <c r="C21" s="8" t="s">
        <v>21</v>
      </c>
      <c r="D21" s="4" t="s">
        <v>17</v>
      </c>
      <c r="E21" s="4" t="s">
        <v>22</v>
      </c>
      <c r="F21" s="4" t="s">
        <v>15</v>
      </c>
      <c r="G21" s="4">
        <v>4</v>
      </c>
    </row>
    <row r="22" spans="1:7">
      <c r="A22" s="4" t="s">
        <v>38</v>
      </c>
      <c r="B22" s="4" t="s">
        <v>19</v>
      </c>
      <c r="C22" s="8" t="s">
        <v>24</v>
      </c>
      <c r="D22" s="4" t="s">
        <v>17</v>
      </c>
      <c r="E22" s="4" t="s">
        <v>22</v>
      </c>
      <c r="F22" s="4" t="s">
        <v>17</v>
      </c>
      <c r="G22" s="4">
        <v>2</v>
      </c>
    </row>
    <row r="23" spans="1:7">
      <c r="A23" s="4" t="s">
        <v>39</v>
      </c>
      <c r="B23" s="4" t="s">
        <v>19</v>
      </c>
      <c r="C23" s="8" t="s">
        <v>14</v>
      </c>
      <c r="D23" s="4" t="s">
        <v>17</v>
      </c>
      <c r="E23" s="4" t="s">
        <v>22</v>
      </c>
      <c r="F23" s="4" t="s">
        <v>17</v>
      </c>
      <c r="G23" s="4">
        <v>4</v>
      </c>
    </row>
    <row r="24" spans="1:7">
      <c r="A24" s="4" t="s">
        <v>40</v>
      </c>
      <c r="B24" s="4" t="s">
        <v>19</v>
      </c>
      <c r="C24" s="8" t="s">
        <v>30</v>
      </c>
      <c r="D24" s="4" t="s">
        <v>17</v>
      </c>
      <c r="E24" s="4" t="s">
        <v>22</v>
      </c>
      <c r="F24" s="4" t="s">
        <v>17</v>
      </c>
      <c r="G24" s="4">
        <v>3</v>
      </c>
    </row>
    <row r="25" spans="1:7">
      <c r="A25" s="4" t="s">
        <v>41</v>
      </c>
      <c r="B25" s="4" t="s">
        <v>19</v>
      </c>
      <c r="C25" s="8" t="s">
        <v>14</v>
      </c>
      <c r="D25" s="4" t="s">
        <v>15</v>
      </c>
      <c r="E25" s="4" t="s">
        <v>22</v>
      </c>
      <c r="F25" s="4" t="s">
        <v>17</v>
      </c>
      <c r="G25" s="4">
        <v>4</v>
      </c>
    </row>
    <row r="26" spans="1:7">
      <c r="A26" s="4" t="s">
        <v>42</v>
      </c>
      <c r="B26" s="4" t="s">
        <v>13</v>
      </c>
      <c r="C26" s="8" t="s">
        <v>24</v>
      </c>
      <c r="D26" s="4" t="s">
        <v>15</v>
      </c>
      <c r="E26" s="4" t="s">
        <v>22</v>
      </c>
      <c r="F26" s="4" t="s">
        <v>17</v>
      </c>
      <c r="G26" s="4">
        <v>3</v>
      </c>
    </row>
    <row r="27" spans="1:7">
      <c r="A27" s="4" t="s">
        <v>43</v>
      </c>
      <c r="B27" s="4" t="s">
        <v>19</v>
      </c>
      <c r="C27" s="8" t="s">
        <v>24</v>
      </c>
      <c r="D27" s="4" t="s">
        <v>17</v>
      </c>
      <c r="E27" s="4" t="s">
        <v>16</v>
      </c>
      <c r="F27" s="4" t="s">
        <v>15</v>
      </c>
      <c r="G27" s="4">
        <v>2</v>
      </c>
    </row>
    <row r="28" spans="1:7">
      <c r="A28" s="4" t="s">
        <v>44</v>
      </c>
      <c r="B28" s="4" t="s">
        <v>19</v>
      </c>
      <c r="C28" s="8" t="s">
        <v>14</v>
      </c>
      <c r="D28" s="4" t="s">
        <v>15</v>
      </c>
      <c r="E28" s="4" t="s">
        <v>16</v>
      </c>
      <c r="F28" s="4" t="s">
        <v>17</v>
      </c>
      <c r="G28" s="4">
        <v>3</v>
      </c>
    </row>
    <row r="29" spans="1:7">
      <c r="A29" s="4" t="s">
        <v>45</v>
      </c>
      <c r="B29" s="4" t="s">
        <v>13</v>
      </c>
      <c r="C29" s="8" t="s">
        <v>14</v>
      </c>
      <c r="D29" s="4" t="s">
        <v>15</v>
      </c>
      <c r="E29" s="4" t="s">
        <v>22</v>
      </c>
      <c r="F29" s="4" t="s">
        <v>17</v>
      </c>
      <c r="G29" s="4">
        <v>1</v>
      </c>
    </row>
    <row r="30" spans="1:7">
      <c r="A30" s="4" t="s">
        <v>46</v>
      </c>
      <c r="B30" s="4" t="s">
        <v>13</v>
      </c>
      <c r="C30" s="8" t="s">
        <v>14</v>
      </c>
      <c r="D30" s="4" t="s">
        <v>17</v>
      </c>
      <c r="E30" s="4" t="s">
        <v>16</v>
      </c>
      <c r="F30" s="4" t="s">
        <v>15</v>
      </c>
      <c r="G30" s="4">
        <v>4</v>
      </c>
    </row>
    <row r="31" spans="1:7">
      <c r="A31" s="4" t="s">
        <v>47</v>
      </c>
      <c r="B31" s="4" t="s">
        <v>13</v>
      </c>
      <c r="C31" s="8" t="s">
        <v>24</v>
      </c>
      <c r="D31" s="4" t="s">
        <v>17</v>
      </c>
      <c r="E31" s="4" t="s">
        <v>16</v>
      </c>
      <c r="F31" s="4" t="s">
        <v>17</v>
      </c>
      <c r="G31" s="4">
        <v>4</v>
      </c>
    </row>
    <row r="32" spans="1:7">
      <c r="A32" s="4" t="s">
        <v>48</v>
      </c>
      <c r="B32" s="4" t="s">
        <v>19</v>
      </c>
      <c r="C32" s="8" t="s">
        <v>21</v>
      </c>
      <c r="D32" s="4" t="s">
        <v>15</v>
      </c>
      <c r="E32" s="4" t="s">
        <v>22</v>
      </c>
      <c r="F32" s="4" t="s">
        <v>15</v>
      </c>
      <c r="G32" s="4">
        <v>1</v>
      </c>
    </row>
    <row r="33" spans="1:7">
      <c r="A33" s="4" t="s">
        <v>49</v>
      </c>
      <c r="B33" s="4" t="s">
        <v>13</v>
      </c>
      <c r="C33" s="8" t="s">
        <v>21</v>
      </c>
      <c r="D33" s="4" t="s">
        <v>15</v>
      </c>
      <c r="E33" s="4" t="s">
        <v>22</v>
      </c>
      <c r="F33" s="4" t="s">
        <v>17</v>
      </c>
      <c r="G33" s="4">
        <v>2</v>
      </c>
    </row>
    <row r="34" spans="1:7">
      <c r="A34" s="4" t="s">
        <v>50</v>
      </c>
      <c r="B34" s="4" t="s">
        <v>13</v>
      </c>
      <c r="C34" s="8" t="s">
        <v>14</v>
      </c>
      <c r="D34" s="4" t="s">
        <v>15</v>
      </c>
      <c r="E34" s="4" t="s">
        <v>22</v>
      </c>
      <c r="F34" s="4" t="s">
        <v>15</v>
      </c>
      <c r="G34" s="4">
        <v>1</v>
      </c>
    </row>
    <row r="35" spans="1:7">
      <c r="A35" s="4" t="s">
        <v>51</v>
      </c>
      <c r="B35" s="4" t="s">
        <v>19</v>
      </c>
      <c r="C35" s="8" t="s">
        <v>21</v>
      </c>
      <c r="D35" s="4" t="s">
        <v>17</v>
      </c>
      <c r="E35" s="4" t="s">
        <v>22</v>
      </c>
      <c r="F35" s="4" t="s">
        <v>17</v>
      </c>
      <c r="G35" s="4">
        <v>3</v>
      </c>
    </row>
    <row r="36" spans="1:7">
      <c r="A36" s="4" t="s">
        <v>52</v>
      </c>
      <c r="B36" s="4" t="s">
        <v>13</v>
      </c>
      <c r="C36" s="8" t="s">
        <v>21</v>
      </c>
      <c r="D36" s="4" t="s">
        <v>17</v>
      </c>
      <c r="E36" s="4" t="s">
        <v>22</v>
      </c>
      <c r="F36" s="4" t="s">
        <v>15</v>
      </c>
      <c r="G36" s="4">
        <v>3</v>
      </c>
    </row>
    <row r="37" spans="1:7">
      <c r="A37" s="4" t="s">
        <v>53</v>
      </c>
      <c r="B37" s="4" t="s">
        <v>13</v>
      </c>
      <c r="C37" s="8" t="s">
        <v>30</v>
      </c>
      <c r="D37" s="4" t="s">
        <v>17</v>
      </c>
      <c r="E37" s="4" t="s">
        <v>22</v>
      </c>
      <c r="F37" s="4" t="s">
        <v>17</v>
      </c>
      <c r="G37" s="4">
        <v>1</v>
      </c>
    </row>
    <row r="38" spans="1:7">
      <c r="A38" s="4" t="s">
        <v>54</v>
      </c>
      <c r="B38" s="4" t="s">
        <v>13</v>
      </c>
      <c r="C38" s="8" t="s">
        <v>24</v>
      </c>
      <c r="D38" s="4" t="s">
        <v>17</v>
      </c>
      <c r="E38" s="4" t="s">
        <v>22</v>
      </c>
      <c r="F38" s="4" t="s">
        <v>17</v>
      </c>
      <c r="G38" s="4">
        <v>4</v>
      </c>
    </row>
    <row r="39" spans="1:7">
      <c r="A39" s="4" t="s">
        <v>55</v>
      </c>
      <c r="B39" s="4" t="s">
        <v>19</v>
      </c>
      <c r="C39" s="8" t="s">
        <v>30</v>
      </c>
      <c r="D39" s="4" t="s">
        <v>17</v>
      </c>
      <c r="E39" s="4" t="s">
        <v>22</v>
      </c>
      <c r="F39" s="4" t="s">
        <v>17</v>
      </c>
      <c r="G39" s="4">
        <v>2</v>
      </c>
    </row>
    <row r="40" spans="1:7">
      <c r="A40" s="4" t="s">
        <v>56</v>
      </c>
      <c r="B40" s="4" t="s">
        <v>13</v>
      </c>
      <c r="C40" s="8" t="s">
        <v>24</v>
      </c>
      <c r="D40" s="4" t="s">
        <v>17</v>
      </c>
      <c r="E40" s="4" t="s">
        <v>16</v>
      </c>
      <c r="F40" s="4" t="s">
        <v>17</v>
      </c>
      <c r="G40" s="4">
        <v>2</v>
      </c>
    </row>
    <row r="41" spans="1:7">
      <c r="A41" s="4" t="s">
        <v>57</v>
      </c>
      <c r="B41" s="4" t="s">
        <v>13</v>
      </c>
      <c r="C41" s="8" t="s">
        <v>21</v>
      </c>
      <c r="D41" s="4" t="s">
        <v>17</v>
      </c>
      <c r="E41" s="4" t="s">
        <v>22</v>
      </c>
      <c r="F41" s="4" t="s">
        <v>17</v>
      </c>
      <c r="G41" s="4">
        <v>1</v>
      </c>
    </row>
    <row r="42" spans="1:7">
      <c r="A42" s="4" t="s">
        <v>58</v>
      </c>
      <c r="B42" s="4" t="s">
        <v>13</v>
      </c>
      <c r="C42" s="8" t="s">
        <v>30</v>
      </c>
      <c r="D42" s="4" t="s">
        <v>15</v>
      </c>
      <c r="E42" s="4" t="s">
        <v>22</v>
      </c>
      <c r="F42" s="4" t="s">
        <v>15</v>
      </c>
      <c r="G42" s="4">
        <v>4</v>
      </c>
    </row>
    <row r="43" spans="1:7">
      <c r="A43" s="4" t="s">
        <v>59</v>
      </c>
      <c r="B43" s="4" t="s">
        <v>13</v>
      </c>
      <c r="C43" s="8" t="s">
        <v>24</v>
      </c>
      <c r="D43" s="4" t="s">
        <v>15</v>
      </c>
      <c r="E43" s="4" t="s">
        <v>22</v>
      </c>
      <c r="F43" s="4" t="s">
        <v>17</v>
      </c>
      <c r="G43" s="4">
        <v>3</v>
      </c>
    </row>
    <row r="44" spans="1:7">
      <c r="A44" s="4" t="s">
        <v>60</v>
      </c>
      <c r="B44" s="4" t="s">
        <v>13</v>
      </c>
      <c r="C44" s="8" t="s">
        <v>30</v>
      </c>
      <c r="D44" s="4" t="s">
        <v>17</v>
      </c>
      <c r="E44" s="4" t="s">
        <v>16</v>
      </c>
      <c r="F44" s="4" t="s">
        <v>17</v>
      </c>
      <c r="G44" s="4">
        <v>2</v>
      </c>
    </row>
    <row r="45" spans="1:7">
      <c r="A45" s="4" t="s">
        <v>61</v>
      </c>
      <c r="B45" s="4" t="s">
        <v>19</v>
      </c>
      <c r="C45" s="8" t="s">
        <v>24</v>
      </c>
      <c r="D45" s="4" t="s">
        <v>17</v>
      </c>
      <c r="E45" s="4" t="s">
        <v>22</v>
      </c>
      <c r="F45" s="4" t="s">
        <v>17</v>
      </c>
      <c r="G45" s="4">
        <v>3</v>
      </c>
    </row>
    <row r="46" spans="1:7">
      <c r="A46" s="4" t="s">
        <v>62</v>
      </c>
      <c r="B46" s="4" t="s">
        <v>19</v>
      </c>
      <c r="C46" s="8" t="s">
        <v>30</v>
      </c>
      <c r="D46" s="4" t="s">
        <v>15</v>
      </c>
      <c r="E46" s="4" t="s">
        <v>16</v>
      </c>
      <c r="F46" s="4" t="s">
        <v>17</v>
      </c>
      <c r="G46" s="4">
        <v>2</v>
      </c>
    </row>
    <row r="47" spans="1:7">
      <c r="A47" s="4" t="s">
        <v>63</v>
      </c>
      <c r="B47" s="4" t="s">
        <v>19</v>
      </c>
      <c r="C47" s="8" t="s">
        <v>24</v>
      </c>
      <c r="D47" s="4" t="s">
        <v>17</v>
      </c>
      <c r="E47" s="4" t="s">
        <v>22</v>
      </c>
      <c r="F47" s="4" t="s">
        <v>17</v>
      </c>
      <c r="G47" s="4">
        <v>3</v>
      </c>
    </row>
    <row r="48" spans="1:7">
      <c r="A48" s="4" t="s">
        <v>64</v>
      </c>
      <c r="B48" s="4" t="s">
        <v>19</v>
      </c>
      <c r="C48" s="8" t="s">
        <v>21</v>
      </c>
      <c r="D48" s="4" t="s">
        <v>15</v>
      </c>
      <c r="E48" s="4" t="s">
        <v>16</v>
      </c>
      <c r="F48" s="4" t="s">
        <v>17</v>
      </c>
      <c r="G48" s="4">
        <v>4</v>
      </c>
    </row>
    <row r="49" spans="1:7">
      <c r="A49" s="4" t="s">
        <v>65</v>
      </c>
      <c r="B49" s="4" t="s">
        <v>13</v>
      </c>
      <c r="C49" s="8" t="s">
        <v>21</v>
      </c>
      <c r="D49" s="4" t="s">
        <v>17</v>
      </c>
      <c r="E49" s="4" t="s">
        <v>22</v>
      </c>
      <c r="F49" s="4" t="s">
        <v>17</v>
      </c>
      <c r="G49" s="4">
        <v>1</v>
      </c>
    </row>
    <row r="50" spans="1:7">
      <c r="A50" s="4" t="s">
        <v>66</v>
      </c>
      <c r="B50" s="4" t="s">
        <v>13</v>
      </c>
      <c r="C50" s="8" t="s">
        <v>14</v>
      </c>
      <c r="D50" s="4" t="s">
        <v>15</v>
      </c>
      <c r="E50" s="4" t="s">
        <v>22</v>
      </c>
      <c r="F50" s="4" t="s">
        <v>15</v>
      </c>
      <c r="G50" s="4">
        <v>3</v>
      </c>
    </row>
    <row r="51" spans="1:7">
      <c r="A51" s="4" t="s">
        <v>67</v>
      </c>
      <c r="B51" s="4" t="s">
        <v>13</v>
      </c>
      <c r="C51" s="8" t="s">
        <v>24</v>
      </c>
      <c r="D51" s="4" t="s">
        <v>17</v>
      </c>
      <c r="E51" s="4" t="s">
        <v>22</v>
      </c>
      <c r="F51" s="4" t="s">
        <v>15</v>
      </c>
      <c r="G51" s="4">
        <v>3</v>
      </c>
    </row>
    <row r="52" spans="1:7">
      <c r="A52" s="4" t="s">
        <v>68</v>
      </c>
      <c r="B52" s="4" t="s">
        <v>19</v>
      </c>
      <c r="C52" s="8" t="s">
        <v>14</v>
      </c>
      <c r="D52" s="4" t="s">
        <v>17</v>
      </c>
      <c r="E52" s="4" t="s">
        <v>22</v>
      </c>
      <c r="F52" s="4" t="s">
        <v>17</v>
      </c>
      <c r="G52" s="4">
        <v>2</v>
      </c>
    </row>
    <row r="53" spans="1:7">
      <c r="A53" s="4" t="s">
        <v>69</v>
      </c>
      <c r="B53" s="4" t="s">
        <v>19</v>
      </c>
      <c r="C53" s="8" t="s">
        <v>30</v>
      </c>
      <c r="D53" s="4" t="s">
        <v>17</v>
      </c>
      <c r="E53" s="4" t="s">
        <v>16</v>
      </c>
      <c r="F53" s="4" t="s">
        <v>15</v>
      </c>
      <c r="G53" s="4">
        <v>4</v>
      </c>
    </row>
    <row r="54" spans="1:7">
      <c r="A54" s="4" t="s">
        <v>70</v>
      </c>
      <c r="B54" s="4" t="s">
        <v>13</v>
      </c>
      <c r="C54" s="8" t="s">
        <v>14</v>
      </c>
      <c r="D54" s="4" t="s">
        <v>17</v>
      </c>
      <c r="E54" s="4" t="s">
        <v>22</v>
      </c>
      <c r="F54" s="4" t="s">
        <v>17</v>
      </c>
      <c r="G54" s="4">
        <v>2</v>
      </c>
    </row>
    <row r="55" spans="1:7">
      <c r="A55" s="4" t="s">
        <v>71</v>
      </c>
      <c r="B55" s="4" t="s">
        <v>13</v>
      </c>
      <c r="C55" s="8" t="s">
        <v>24</v>
      </c>
      <c r="D55" s="4" t="s">
        <v>17</v>
      </c>
      <c r="E55" s="4" t="s">
        <v>22</v>
      </c>
      <c r="F55" s="4" t="s">
        <v>17</v>
      </c>
      <c r="G55" s="4">
        <v>3</v>
      </c>
    </row>
    <row r="56" spans="1:7">
      <c r="A56" s="4" t="s">
        <v>72</v>
      </c>
      <c r="B56" s="4" t="s">
        <v>13</v>
      </c>
      <c r="C56" s="8" t="s">
        <v>21</v>
      </c>
      <c r="D56" s="4" t="s">
        <v>17</v>
      </c>
      <c r="E56" s="4" t="s">
        <v>22</v>
      </c>
      <c r="F56" s="4" t="s">
        <v>17</v>
      </c>
      <c r="G56" s="4">
        <v>2</v>
      </c>
    </row>
    <row r="57" spans="1:7">
      <c r="A57" s="4" t="s">
        <v>73</v>
      </c>
      <c r="B57" s="4" t="s">
        <v>13</v>
      </c>
      <c r="C57" s="8" t="s">
        <v>30</v>
      </c>
      <c r="D57" s="4" t="s">
        <v>17</v>
      </c>
      <c r="E57" s="4" t="s">
        <v>22</v>
      </c>
      <c r="F57" s="4" t="s">
        <v>17</v>
      </c>
      <c r="G57" s="4">
        <v>2</v>
      </c>
    </row>
    <row r="58" spans="1:7">
      <c r="A58" s="4" t="s">
        <v>74</v>
      </c>
      <c r="B58" s="4" t="s">
        <v>13</v>
      </c>
      <c r="C58" s="8" t="s">
        <v>21</v>
      </c>
      <c r="D58" s="4" t="s">
        <v>15</v>
      </c>
      <c r="E58" s="4" t="s">
        <v>22</v>
      </c>
      <c r="F58" s="4" t="s">
        <v>15</v>
      </c>
      <c r="G58" s="4">
        <v>2</v>
      </c>
    </row>
    <row r="59" spans="1:7">
      <c r="A59" s="4" t="s">
        <v>75</v>
      </c>
      <c r="B59" s="4" t="s">
        <v>13</v>
      </c>
      <c r="C59" s="8" t="s">
        <v>21</v>
      </c>
      <c r="D59" s="4" t="s">
        <v>17</v>
      </c>
      <c r="E59" s="4" t="s">
        <v>22</v>
      </c>
      <c r="F59" s="4" t="s">
        <v>17</v>
      </c>
      <c r="G59" s="4">
        <v>3</v>
      </c>
    </row>
    <row r="60" spans="1:7">
      <c r="A60" s="4" t="s">
        <v>76</v>
      </c>
      <c r="B60" s="4" t="s">
        <v>19</v>
      </c>
      <c r="C60" s="8" t="s">
        <v>14</v>
      </c>
      <c r="D60" s="4" t="s">
        <v>17</v>
      </c>
      <c r="E60" s="4" t="s">
        <v>22</v>
      </c>
      <c r="F60" s="4" t="s">
        <v>17</v>
      </c>
      <c r="G60" s="4">
        <v>3</v>
      </c>
    </row>
    <row r="61" spans="1:7">
      <c r="A61" s="4" t="s">
        <v>77</v>
      </c>
      <c r="B61" s="4" t="s">
        <v>19</v>
      </c>
      <c r="C61" s="8" t="s">
        <v>24</v>
      </c>
      <c r="D61" s="4" t="s">
        <v>17</v>
      </c>
      <c r="E61" s="4" t="s">
        <v>16</v>
      </c>
      <c r="F61" s="4" t="s">
        <v>17</v>
      </c>
      <c r="G61" s="4">
        <v>1</v>
      </c>
    </row>
    <row r="62" spans="1:7">
      <c r="A62" s="4" t="s">
        <v>78</v>
      </c>
      <c r="B62" s="4" t="s">
        <v>13</v>
      </c>
      <c r="C62" s="8" t="s">
        <v>24</v>
      </c>
      <c r="D62" s="4" t="s">
        <v>17</v>
      </c>
      <c r="E62" s="4" t="s">
        <v>22</v>
      </c>
      <c r="F62" s="4" t="s">
        <v>17</v>
      </c>
      <c r="G62" s="4">
        <v>2</v>
      </c>
    </row>
    <row r="63" spans="1:7">
      <c r="A63" s="4" t="s">
        <v>79</v>
      </c>
      <c r="B63" s="4" t="s">
        <v>19</v>
      </c>
      <c r="C63" s="8" t="s">
        <v>21</v>
      </c>
      <c r="D63" s="4" t="s">
        <v>17</v>
      </c>
      <c r="E63" s="4" t="s">
        <v>22</v>
      </c>
      <c r="F63" s="4" t="s">
        <v>15</v>
      </c>
      <c r="G63" s="4">
        <v>2</v>
      </c>
    </row>
    <row r="64" spans="1:7">
      <c r="A64" s="4" t="s">
        <v>80</v>
      </c>
      <c r="B64" s="4" t="s">
        <v>19</v>
      </c>
      <c r="C64" s="8" t="s">
        <v>21</v>
      </c>
      <c r="D64" s="4" t="s">
        <v>17</v>
      </c>
      <c r="E64" s="4" t="s">
        <v>22</v>
      </c>
      <c r="F64" s="4" t="s">
        <v>15</v>
      </c>
      <c r="G64" s="4">
        <v>4</v>
      </c>
    </row>
    <row r="65" spans="1:7">
      <c r="A65" s="4" t="s">
        <v>81</v>
      </c>
      <c r="B65" s="4" t="s">
        <v>19</v>
      </c>
      <c r="C65" s="8" t="s">
        <v>21</v>
      </c>
      <c r="D65" s="4" t="s">
        <v>17</v>
      </c>
      <c r="E65" s="4" t="s">
        <v>22</v>
      </c>
      <c r="F65" s="4" t="s">
        <v>17</v>
      </c>
      <c r="G65" s="4">
        <v>3</v>
      </c>
    </row>
    <row r="66" spans="1:7">
      <c r="A66" s="4" t="s">
        <v>82</v>
      </c>
      <c r="B66" s="4" t="s">
        <v>19</v>
      </c>
      <c r="C66" s="8" t="s">
        <v>24</v>
      </c>
      <c r="D66" s="4" t="s">
        <v>17</v>
      </c>
      <c r="E66" s="4" t="s">
        <v>16</v>
      </c>
      <c r="F66" s="4" t="s">
        <v>17</v>
      </c>
      <c r="G66" s="4">
        <v>3</v>
      </c>
    </row>
    <row r="67" spans="1:7">
      <c r="A67" s="4" t="s">
        <v>83</v>
      </c>
      <c r="B67" s="4" t="s">
        <v>13</v>
      </c>
      <c r="C67" s="8" t="s">
        <v>21</v>
      </c>
      <c r="D67" s="4" t="s">
        <v>17</v>
      </c>
      <c r="E67" s="4" t="s">
        <v>16</v>
      </c>
      <c r="F67" s="4" t="s">
        <v>17</v>
      </c>
      <c r="G67" s="4">
        <v>4</v>
      </c>
    </row>
    <row r="68" spans="1:7">
      <c r="A68" s="4" t="s">
        <v>84</v>
      </c>
      <c r="B68" s="4" t="s">
        <v>13</v>
      </c>
      <c r="C68" s="8" t="s">
        <v>21</v>
      </c>
      <c r="D68" s="4" t="s">
        <v>17</v>
      </c>
      <c r="E68" s="4" t="s">
        <v>22</v>
      </c>
      <c r="F68" s="4" t="s">
        <v>15</v>
      </c>
      <c r="G68" s="4">
        <v>4</v>
      </c>
    </row>
    <row r="69" spans="1:7">
      <c r="A69" s="4" t="s">
        <v>85</v>
      </c>
      <c r="B69" s="4" t="s">
        <v>19</v>
      </c>
      <c r="C69" s="8" t="s">
        <v>21</v>
      </c>
      <c r="D69" s="4" t="s">
        <v>17</v>
      </c>
      <c r="E69" s="4" t="s">
        <v>22</v>
      </c>
      <c r="F69" s="4" t="s">
        <v>17</v>
      </c>
      <c r="G69" s="4">
        <v>2</v>
      </c>
    </row>
    <row r="70" spans="1:7">
      <c r="A70" s="4" t="s">
        <v>86</v>
      </c>
      <c r="B70" s="4" t="s">
        <v>13</v>
      </c>
      <c r="C70" s="8" t="s">
        <v>21</v>
      </c>
      <c r="D70" s="4" t="s">
        <v>15</v>
      </c>
      <c r="E70" s="4" t="s">
        <v>22</v>
      </c>
      <c r="F70" s="4" t="s">
        <v>17</v>
      </c>
      <c r="G70" s="4">
        <v>1</v>
      </c>
    </row>
    <row r="71" spans="1:7">
      <c r="A71" s="4" t="s">
        <v>87</v>
      </c>
      <c r="B71" s="4" t="s">
        <v>19</v>
      </c>
      <c r="C71" s="8" t="s">
        <v>21</v>
      </c>
      <c r="D71" s="4" t="s">
        <v>17</v>
      </c>
      <c r="E71" s="4" t="s">
        <v>22</v>
      </c>
      <c r="F71" s="4" t="s">
        <v>15</v>
      </c>
      <c r="G71" s="4">
        <v>2</v>
      </c>
    </row>
    <row r="72" spans="1:7">
      <c r="A72" s="4" t="s">
        <v>88</v>
      </c>
      <c r="B72" s="4" t="s">
        <v>13</v>
      </c>
      <c r="C72" s="8" t="s">
        <v>24</v>
      </c>
      <c r="D72" s="4" t="s">
        <v>15</v>
      </c>
      <c r="E72" s="4" t="s">
        <v>22</v>
      </c>
      <c r="F72" s="4" t="s">
        <v>15</v>
      </c>
      <c r="G72" s="4">
        <v>3</v>
      </c>
    </row>
    <row r="73" spans="1:7">
      <c r="A73" s="4" t="s">
        <v>89</v>
      </c>
      <c r="B73" s="4" t="s">
        <v>19</v>
      </c>
      <c r="C73" s="8" t="s">
        <v>24</v>
      </c>
      <c r="D73" s="4" t="s">
        <v>15</v>
      </c>
      <c r="E73" s="4" t="s">
        <v>22</v>
      </c>
      <c r="F73" s="4" t="s">
        <v>15</v>
      </c>
      <c r="G73" s="4">
        <v>1</v>
      </c>
    </row>
    <row r="74" spans="1:7">
      <c r="A74" s="4" t="s">
        <v>90</v>
      </c>
      <c r="B74" s="4" t="s">
        <v>13</v>
      </c>
      <c r="C74" s="8" t="s">
        <v>30</v>
      </c>
      <c r="D74" s="4" t="s">
        <v>17</v>
      </c>
      <c r="E74" s="4" t="s">
        <v>22</v>
      </c>
      <c r="F74" s="4" t="s">
        <v>17</v>
      </c>
      <c r="G74" s="4">
        <v>4</v>
      </c>
    </row>
    <row r="75" spans="1:7">
      <c r="A75" s="4" t="s">
        <v>91</v>
      </c>
      <c r="B75" s="4" t="s">
        <v>19</v>
      </c>
      <c r="C75" s="8" t="s">
        <v>21</v>
      </c>
      <c r="D75" s="4" t="s">
        <v>17</v>
      </c>
      <c r="E75" s="4" t="s">
        <v>22</v>
      </c>
      <c r="F75" s="4" t="s">
        <v>17</v>
      </c>
      <c r="G75" s="4">
        <v>3</v>
      </c>
    </row>
    <row r="76" spans="1:7">
      <c r="A76" s="4" t="s">
        <v>92</v>
      </c>
      <c r="B76" s="4" t="s">
        <v>13</v>
      </c>
      <c r="C76" s="8" t="s">
        <v>14</v>
      </c>
      <c r="D76" s="4" t="s">
        <v>15</v>
      </c>
      <c r="E76" s="4" t="s">
        <v>22</v>
      </c>
      <c r="F76" s="4" t="s">
        <v>15</v>
      </c>
      <c r="G76" s="4">
        <v>3</v>
      </c>
    </row>
    <row r="77" spans="1:7">
      <c r="A77" s="4" t="s">
        <v>93</v>
      </c>
      <c r="B77" s="4" t="s">
        <v>19</v>
      </c>
      <c r="C77" s="8" t="s">
        <v>24</v>
      </c>
      <c r="D77" s="4" t="s">
        <v>17</v>
      </c>
      <c r="E77" s="4" t="s">
        <v>22</v>
      </c>
      <c r="F77" s="4" t="s">
        <v>15</v>
      </c>
      <c r="G77" s="4">
        <v>2</v>
      </c>
    </row>
    <row r="78" spans="1:7">
      <c r="A78" s="4" t="s">
        <v>94</v>
      </c>
      <c r="B78" s="4" t="s">
        <v>19</v>
      </c>
      <c r="C78" s="8" t="s">
        <v>21</v>
      </c>
      <c r="D78" s="4" t="s">
        <v>17</v>
      </c>
      <c r="E78" s="4" t="s">
        <v>22</v>
      </c>
      <c r="F78" s="4" t="s">
        <v>17</v>
      </c>
      <c r="G78" s="4">
        <v>4</v>
      </c>
    </row>
    <row r="79" spans="1:7">
      <c r="A79" s="4" t="s">
        <v>95</v>
      </c>
      <c r="B79" s="4" t="s">
        <v>19</v>
      </c>
      <c r="C79" s="8" t="s">
        <v>30</v>
      </c>
      <c r="D79" s="4" t="s">
        <v>17</v>
      </c>
      <c r="E79" s="4" t="s">
        <v>22</v>
      </c>
      <c r="F79" s="4" t="s">
        <v>17</v>
      </c>
      <c r="G79" s="4">
        <v>2</v>
      </c>
    </row>
    <row r="80" spans="1:7">
      <c r="A80" s="4" t="s">
        <v>96</v>
      </c>
      <c r="B80" s="4" t="s">
        <v>19</v>
      </c>
      <c r="C80" s="8" t="s">
        <v>30</v>
      </c>
      <c r="D80" s="4" t="s">
        <v>17</v>
      </c>
      <c r="E80" s="4" t="s">
        <v>22</v>
      </c>
      <c r="F80" s="4" t="s">
        <v>15</v>
      </c>
      <c r="G80" s="4">
        <v>4</v>
      </c>
    </row>
    <row r="81" spans="1:7">
      <c r="A81" s="4" t="s">
        <v>97</v>
      </c>
      <c r="B81" s="4" t="s">
        <v>13</v>
      </c>
      <c r="C81" s="8" t="s">
        <v>24</v>
      </c>
      <c r="D81" s="4" t="s">
        <v>17</v>
      </c>
      <c r="E81" s="4" t="s">
        <v>22</v>
      </c>
      <c r="F81" s="4" t="s">
        <v>15</v>
      </c>
      <c r="G81" s="4">
        <v>2</v>
      </c>
    </row>
    <row r="82" spans="1:7">
      <c r="A82" s="4" t="s">
        <v>98</v>
      </c>
      <c r="B82" s="4" t="s">
        <v>19</v>
      </c>
      <c r="C82" s="8" t="s">
        <v>30</v>
      </c>
      <c r="D82" s="4" t="s">
        <v>17</v>
      </c>
      <c r="E82" s="4" t="s">
        <v>16</v>
      </c>
      <c r="F82" s="4" t="s">
        <v>17</v>
      </c>
      <c r="G82" s="4">
        <v>3</v>
      </c>
    </row>
    <row r="83" spans="1:7">
      <c r="A83" s="4" t="s">
        <v>99</v>
      </c>
      <c r="B83" s="4" t="s">
        <v>19</v>
      </c>
      <c r="C83" s="8" t="s">
        <v>30</v>
      </c>
      <c r="D83" s="4" t="s">
        <v>15</v>
      </c>
      <c r="E83" s="4" t="s">
        <v>22</v>
      </c>
      <c r="F83" s="4" t="s">
        <v>15</v>
      </c>
      <c r="G83" s="4">
        <v>2</v>
      </c>
    </row>
    <row r="84" spans="1:7">
      <c r="A84" s="4" t="s">
        <v>100</v>
      </c>
      <c r="B84" s="4" t="s">
        <v>13</v>
      </c>
      <c r="C84" s="8" t="s">
        <v>14</v>
      </c>
      <c r="D84" s="4" t="s">
        <v>15</v>
      </c>
      <c r="E84" s="4" t="s">
        <v>16</v>
      </c>
      <c r="F84" s="4" t="s">
        <v>15</v>
      </c>
      <c r="G84" s="4">
        <v>4</v>
      </c>
    </row>
    <row r="85" spans="1:7">
      <c r="A85" s="4" t="s">
        <v>101</v>
      </c>
      <c r="B85" s="4" t="s">
        <v>13</v>
      </c>
      <c r="C85" s="8" t="s">
        <v>21</v>
      </c>
      <c r="D85" s="4" t="s">
        <v>17</v>
      </c>
      <c r="E85" s="4" t="s">
        <v>22</v>
      </c>
      <c r="F85" s="4" t="s">
        <v>17</v>
      </c>
      <c r="G85" s="4">
        <v>1</v>
      </c>
    </row>
    <row r="86" spans="1:7">
      <c r="A86" s="4"/>
      <c r="B86" s="4"/>
      <c r="D86" s="4"/>
      <c r="E86" s="4"/>
      <c r="F86" s="4"/>
      <c r="G86" s="4"/>
    </row>
    <row r="87" spans="1:7">
      <c r="A87" s="4" t="s">
        <v>102</v>
      </c>
      <c r="B87" s="4"/>
      <c r="D87" s="4"/>
      <c r="E87" s="4"/>
      <c r="F87" s="4"/>
      <c r="G87" s="4"/>
    </row>
    <row r="88" spans="1:7" ht="14.4">
      <c r="A88" t="s">
        <v>103</v>
      </c>
      <c r="B88" s="4"/>
      <c r="D88" s="4"/>
      <c r="E88" s="4"/>
      <c r="F88" s="4"/>
      <c r="G88" s="4"/>
    </row>
    <row r="89" spans="1:7" ht="16.2">
      <c r="A89" t="s">
        <v>104</v>
      </c>
    </row>
    <row r="91" spans="1:7">
      <c r="A91" t="s">
        <v>105</v>
      </c>
    </row>
    <row r="92" spans="1:7">
      <c r="A92" t="s">
        <v>106</v>
      </c>
      <c r="B92" t="s">
        <v>107</v>
      </c>
    </row>
    <row r="93" spans="1:7">
      <c r="A93" t="s">
        <v>108</v>
      </c>
      <c r="B93" t="s">
        <v>17</v>
      </c>
      <c r="C93" s="8" t="s">
        <v>15</v>
      </c>
      <c r="D93" t="s">
        <v>109</v>
      </c>
    </row>
    <row r="94" spans="1:7">
      <c r="A94" s="7" t="s">
        <v>17</v>
      </c>
      <c r="B94">
        <v>40</v>
      </c>
      <c r="C94" s="8">
        <v>11</v>
      </c>
      <c r="D94">
        <v>51</v>
      </c>
    </row>
    <row r="95" spans="1:7">
      <c r="A95" s="7" t="s">
        <v>15</v>
      </c>
      <c r="B95">
        <v>17</v>
      </c>
      <c r="C95" s="8">
        <v>12</v>
      </c>
      <c r="D95">
        <v>29</v>
      </c>
    </row>
    <row r="96" spans="1:7">
      <c r="A96" s="7" t="s">
        <v>109</v>
      </c>
      <c r="B96">
        <v>57</v>
      </c>
      <c r="C96" s="8">
        <v>23</v>
      </c>
      <c r="D96">
        <v>80</v>
      </c>
    </row>
    <row r="99" spans="1:3">
      <c r="A99" s="7" t="s">
        <v>110</v>
      </c>
    </row>
    <row r="100" spans="1:3">
      <c r="A100" s="7" t="s">
        <v>10</v>
      </c>
      <c r="B100" t="s">
        <v>17</v>
      </c>
      <c r="C100" s="8" t="s">
        <v>15</v>
      </c>
    </row>
    <row r="101" spans="1:3">
      <c r="A101" s="7" t="s">
        <v>17</v>
      </c>
      <c r="B101">
        <f>(GETPIVOTDATA("Employee_ID",$A$92,"Overtime","No")*GETPIVOTDATA("Employee_ID",$A$92,"Attrition","No"))/GETPIVOTDATA("Employee_ID",$A$92)</f>
        <v>36.337499999999999</v>
      </c>
      <c r="C101" s="8">
        <f>GETPIVOTDATA("Employee_ID",$A$92,"Overtime","No")*GETPIVOTDATA("Employee_ID",$A$92,"Attrition","Yes")/GETPIVOTDATA("Employee_ID",$A$92)</f>
        <v>14.6625</v>
      </c>
    </row>
    <row r="102" spans="1:3">
      <c r="A102" s="7" t="s">
        <v>15</v>
      </c>
      <c r="B102">
        <f>GETPIVOTDATA("Employee_ID",$A$92,"Attrition","No")*GETPIVOTDATA("Employee_ID",$A$92,"Overtime","Yes")/GETPIVOTDATA("Employee_ID",$A$92)</f>
        <v>20.662500000000001</v>
      </c>
      <c r="C102" s="8">
        <f>GETPIVOTDATA("Employee_ID",$A$92,"Overtime","Yes")*GETPIVOTDATA("Employee_ID",$A$92,"Attrition","Yes")/GETPIVOTDATA("Employee_ID",$A$92)</f>
        <v>8.3375000000000004</v>
      </c>
    </row>
    <row r="105" spans="1:3">
      <c r="A105" t="s">
        <v>111</v>
      </c>
    </row>
    <row r="106" spans="1:3">
      <c r="A106">
        <f>_xlfn.CHISQ.TEST(B94:C95,B101:C102)</f>
        <v>5.9831566471818358E-2</v>
      </c>
    </row>
    <row r="108" spans="1:3">
      <c r="A108" t="s">
        <v>112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2026-05-14T08:14:32Z</dcterms:created>
  <dcterms:modified xsi:type="dcterms:W3CDTF">2026-05-14T08:34:29Z</dcterms:modified>
</cp:coreProperties>
</file>