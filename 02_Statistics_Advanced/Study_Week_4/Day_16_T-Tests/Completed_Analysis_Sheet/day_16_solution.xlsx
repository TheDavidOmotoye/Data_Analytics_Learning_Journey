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d31ac04eec9a4d31/Documents/"/>
    </mc:Choice>
  </mc:AlternateContent>
  <xr:revisionPtr revIDLastSave="0" documentId="8_{8B983534-C83F-487C-87ED-09D942D33290}" xr6:coauthVersionLast="47" xr6:coauthVersionMax="47" xr10:uidLastSave="{00000000-0000-0000-0000-000000000000}"/>
  <bookViews>
    <workbookView xWindow="-108" yWindow="-108" windowWidth="23256" windowHeight="12456" xr2:uid="{79D981AD-8560-4569-814E-07626EBAFB97}"/>
  </bookViews>
  <sheets>
    <sheet name="Day 1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46" i="1" l="1"/>
  <c r="A137" i="1"/>
  <c r="A140" i="1" s="1"/>
  <c r="A134" i="1"/>
  <c r="A131" i="1"/>
  <c r="A119" i="1"/>
  <c r="A78" i="1"/>
  <c r="B70" i="1"/>
  <c r="B69" i="1"/>
  <c r="F65" i="1"/>
  <c r="E65" i="1"/>
  <c r="F64" i="1"/>
  <c r="E64" i="1"/>
  <c r="F63" i="1"/>
  <c r="E63" i="1"/>
  <c r="F62" i="1"/>
  <c r="E62" i="1"/>
  <c r="F61" i="1"/>
  <c r="E61" i="1"/>
  <c r="F60" i="1"/>
  <c r="E60" i="1"/>
  <c r="F59" i="1"/>
  <c r="E59" i="1"/>
  <c r="F58" i="1"/>
  <c r="E58" i="1"/>
  <c r="F57" i="1"/>
  <c r="E57" i="1"/>
  <c r="F56" i="1"/>
  <c r="E56" i="1"/>
  <c r="F55" i="1"/>
  <c r="E55" i="1"/>
  <c r="F54" i="1"/>
  <c r="E54" i="1"/>
  <c r="F53" i="1"/>
  <c r="E53" i="1"/>
  <c r="F52" i="1"/>
  <c r="E52" i="1"/>
  <c r="F51" i="1"/>
  <c r="E51" i="1"/>
  <c r="F50" i="1"/>
  <c r="E50" i="1"/>
  <c r="F49" i="1"/>
  <c r="E49" i="1"/>
  <c r="F48" i="1"/>
  <c r="E48" i="1"/>
  <c r="F47" i="1"/>
  <c r="E47" i="1"/>
  <c r="F46" i="1"/>
  <c r="E46" i="1"/>
  <c r="F45" i="1"/>
  <c r="E45" i="1"/>
  <c r="F44" i="1"/>
  <c r="E44" i="1"/>
  <c r="F43" i="1"/>
  <c r="E43" i="1"/>
  <c r="F42" i="1"/>
  <c r="E42" i="1"/>
  <c r="F41" i="1"/>
  <c r="E41" i="1"/>
  <c r="F40" i="1"/>
  <c r="E40" i="1"/>
  <c r="F39" i="1"/>
  <c r="E39" i="1"/>
  <c r="F38" i="1"/>
  <c r="E38" i="1"/>
  <c r="F37" i="1"/>
  <c r="E37" i="1"/>
  <c r="F36" i="1"/>
  <c r="E36" i="1"/>
  <c r="F35" i="1"/>
  <c r="E35" i="1"/>
  <c r="F34" i="1"/>
  <c r="E34" i="1"/>
  <c r="F33" i="1"/>
  <c r="E33" i="1"/>
  <c r="F32" i="1"/>
  <c r="E32" i="1"/>
  <c r="F31" i="1"/>
  <c r="E31" i="1"/>
  <c r="F30" i="1"/>
  <c r="E30" i="1"/>
  <c r="F29" i="1"/>
  <c r="E29" i="1"/>
  <c r="F28" i="1"/>
  <c r="E28" i="1"/>
  <c r="F27" i="1"/>
  <c r="E27" i="1"/>
  <c r="F26" i="1"/>
  <c r="E26" i="1"/>
  <c r="F25" i="1"/>
  <c r="E25" i="1"/>
  <c r="F24" i="1"/>
  <c r="E24" i="1"/>
  <c r="F23" i="1"/>
  <c r="E23" i="1"/>
  <c r="F22" i="1"/>
  <c r="E22" i="1"/>
  <c r="F21" i="1"/>
  <c r="E21" i="1"/>
  <c r="F20" i="1"/>
  <c r="E20" i="1"/>
  <c r="F19" i="1"/>
  <c r="E19" i="1"/>
  <c r="F18" i="1"/>
  <c r="E18" i="1"/>
  <c r="F17" i="1"/>
  <c r="E17" i="1"/>
  <c r="F16" i="1"/>
  <c r="E16" i="1"/>
  <c r="F15" i="1"/>
  <c r="E15" i="1"/>
  <c r="F14" i="1"/>
  <c r="E14" i="1"/>
  <c r="F13" i="1"/>
  <c r="E13" i="1"/>
  <c r="F12" i="1"/>
  <c r="E12" i="1"/>
  <c r="F11" i="1"/>
  <c r="E11" i="1"/>
  <c r="F10" i="1"/>
  <c r="E10" i="1"/>
  <c r="F9" i="1"/>
  <c r="E9" i="1"/>
  <c r="F8" i="1"/>
  <c r="E8" i="1"/>
  <c r="F7" i="1"/>
  <c r="E7" i="1"/>
  <c r="F6" i="1"/>
  <c r="E6" i="1"/>
  <c r="B71" i="1" s="1"/>
  <c r="A143" i="1" l="1"/>
  <c r="A149" i="1" s="1"/>
</calcChain>
</file>

<file path=xl/sharedStrings.xml><?xml version="1.0" encoding="utf-8"?>
<sst xmlns="http://schemas.openxmlformats.org/spreadsheetml/2006/main" count="284" uniqueCount="106">
  <si>
    <t>DAY 16: T-Tests</t>
  </si>
  <si>
    <t>Objective</t>
  </si>
  <si>
    <t>Compare sample means across one group, two groups, and before/after scenarios.</t>
  </si>
  <si>
    <t>Suggested Practice:</t>
  </si>
  <si>
    <t>Attempt the exercises independently before reviewing guided solutions.</t>
  </si>
  <si>
    <t>Customer_ID</t>
  </si>
  <si>
    <t>Group</t>
  </si>
  <si>
    <t>Spend_Before</t>
  </si>
  <si>
    <t>Spend_After</t>
  </si>
  <si>
    <t>Spend Difference</t>
  </si>
  <si>
    <t>Difference Indicator</t>
  </si>
  <si>
    <t>Campaign_Exposed</t>
  </si>
  <si>
    <t>Days_Observed</t>
  </si>
  <si>
    <t>Segment</t>
  </si>
  <si>
    <t>CUST-001</t>
  </si>
  <si>
    <t>Treatment</t>
  </si>
  <si>
    <t>Yes</t>
  </si>
  <si>
    <t>Low Value</t>
  </si>
  <si>
    <t>CUST-002</t>
  </si>
  <si>
    <t>CUST-003</t>
  </si>
  <si>
    <t>CUST-004</t>
  </si>
  <si>
    <t>High Value</t>
  </si>
  <si>
    <t>CUST-005</t>
  </si>
  <si>
    <t>Mid Value</t>
  </si>
  <si>
    <t>CUST-006</t>
  </si>
  <si>
    <t>CUST-007</t>
  </si>
  <si>
    <t>CUST-008</t>
  </si>
  <si>
    <t>CUST-009</t>
  </si>
  <si>
    <t>CUST-010</t>
  </si>
  <si>
    <t>CUST-011</t>
  </si>
  <si>
    <t>CUST-012</t>
  </si>
  <si>
    <t>CUST-013</t>
  </si>
  <si>
    <t>CUST-014</t>
  </si>
  <si>
    <t>CUST-015</t>
  </si>
  <si>
    <t>CUST-016</t>
  </si>
  <si>
    <t>CUST-017</t>
  </si>
  <si>
    <t>CUST-018</t>
  </si>
  <si>
    <t>CUST-019</t>
  </si>
  <si>
    <t>CUST-020</t>
  </si>
  <si>
    <t>CUST-021</t>
  </si>
  <si>
    <t>CUST-022</t>
  </si>
  <si>
    <t>CUST-023</t>
  </si>
  <si>
    <t>CUST-024</t>
  </si>
  <si>
    <t>CUST-025</t>
  </si>
  <si>
    <t>CUST-026</t>
  </si>
  <si>
    <t>CUST-027</t>
  </si>
  <si>
    <t>CUST-028</t>
  </si>
  <si>
    <t>CUST-029</t>
  </si>
  <si>
    <t>CUST-030</t>
  </si>
  <si>
    <t>CUST-031</t>
  </si>
  <si>
    <t>Control</t>
  </si>
  <si>
    <t>No</t>
  </si>
  <si>
    <t>CUST-032</t>
  </si>
  <si>
    <t>CUST-033</t>
  </si>
  <si>
    <t>CUST-034</t>
  </si>
  <si>
    <t>CUST-035</t>
  </si>
  <si>
    <t>CUST-036</t>
  </si>
  <si>
    <t>CUST-037</t>
  </si>
  <si>
    <t>CUST-038</t>
  </si>
  <si>
    <t>CUST-039</t>
  </si>
  <si>
    <t>CUST-040</t>
  </si>
  <si>
    <t>CUST-041</t>
  </si>
  <si>
    <t>CUST-042</t>
  </si>
  <si>
    <t>CUST-043</t>
  </si>
  <si>
    <t>CUST-044</t>
  </si>
  <si>
    <t>CUST-045</t>
  </si>
  <si>
    <t>CUST-046</t>
  </si>
  <si>
    <t>CUST-047</t>
  </si>
  <si>
    <t>CUST-048</t>
  </si>
  <si>
    <t>CUST-049</t>
  </si>
  <si>
    <t>CUST-050</t>
  </si>
  <si>
    <t>CUST-051</t>
  </si>
  <si>
    <t>CUST-052</t>
  </si>
  <si>
    <t>CUST-053</t>
  </si>
  <si>
    <t>CUST-054</t>
  </si>
  <si>
    <t>CUST-055</t>
  </si>
  <si>
    <t>CUST-056</t>
  </si>
  <si>
    <t>CUST-057</t>
  </si>
  <si>
    <t>CUST-058</t>
  </si>
  <si>
    <t>CUST-059</t>
  </si>
  <si>
    <t>CUST-060</t>
  </si>
  <si>
    <t>2) Averages</t>
  </si>
  <si>
    <t>Metric</t>
  </si>
  <si>
    <t>Average</t>
  </si>
  <si>
    <t>3) Hypotheses</t>
  </si>
  <si>
    <t>H₀: There is no significant difference between Spend_Before and Spend_After.</t>
  </si>
  <si>
    <t>H₁: There is a significant difference between Spend_Before and Spend_After.</t>
  </si>
  <si>
    <t>4) T-Test (x)</t>
  </si>
  <si>
    <t>DECISION: Reject the null hypothesis (H₀) because p-value &lt; 0.05</t>
  </si>
  <si>
    <t>5) Independent T-Test (y)</t>
  </si>
  <si>
    <t>H₀: Treatment and Control groups have no significant difference in spending change.</t>
  </si>
  <si>
    <t>H₁: Treatment and Control groups have a significant difference in spending change.</t>
  </si>
  <si>
    <t>Treatement_Diff</t>
  </si>
  <si>
    <t>Control_Diff</t>
  </si>
  <si>
    <t>y=</t>
  </si>
  <si>
    <t>6) One-Sample T-Test (z)</t>
  </si>
  <si>
    <t>Assume Target Sales = 200 (given the spend range is between 100-300)</t>
  </si>
  <si>
    <r>
      <t>H</t>
    </r>
    <r>
      <rPr>
        <sz val="11"/>
        <rFont val="Aptos Narrow"/>
        <family val="2"/>
      </rPr>
      <t xml:space="preserve">₀: </t>
    </r>
    <r>
      <rPr>
        <sz val="11"/>
        <rFont val="Carlito"/>
      </rPr>
      <t>Average Spend_After = 200</t>
    </r>
  </si>
  <si>
    <t>H₁: Average Spend_After ≠ 200</t>
  </si>
  <si>
    <t>Sample Size</t>
  </si>
  <si>
    <t>Mean</t>
  </si>
  <si>
    <t>Standard Deviation</t>
  </si>
  <si>
    <t>Standard Error</t>
  </si>
  <si>
    <t>t-statistic</t>
  </si>
  <si>
    <t>Degrees of Freedom (df)</t>
  </si>
  <si>
    <t>p-value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</si>
</sst>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rlito"/>
    </font>
    <font>
      <sz val="11"/>
      <name val="Carlito"/>
    </font>
    <font>
      <b/>
      <sz val="14"/>
      <color rgb="FFFFFFFF"/>
      <name val="Carlito"/>
    </font>
    <font>
      <b/>
      <sz val="11"/>
      <name val="Carlito"/>
    </font>
    <font>
      <b/>
      <sz val="11"/>
      <color rgb="FFFFFFFF"/>
      <name val="Carlito"/>
    </font>
    <font>
      <sz val="11"/>
      <name val="Aptos Narrow"/>
      <family val="2"/>
    </font>
    <font>
      <sz val="10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5B9B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vertical="center" wrapText="1"/>
    </xf>
    <xf numFmtId="0" fontId="3" fillId="3" borderId="0" xfId="0" applyFont="1" applyFill="1" applyAlignment="1">
      <alignment vertical="center" wrapText="1"/>
    </xf>
    <xf numFmtId="0" fontId="0" fillId="0" borderId="0" xfId="0" applyAlignment="1">
      <alignment wrapText="1"/>
    </xf>
    <xf numFmtId="0" fontId="3" fillId="0" borderId="0" xfId="0" applyFont="1" applyAlignment="1">
      <alignment vertical="center" wrapText="1"/>
    </xf>
    <xf numFmtId="0" fontId="4" fillId="4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1" fontId="0" fillId="0" borderId="0" xfId="0" applyNumberFormat="1"/>
    <xf numFmtId="0" fontId="6" fillId="0" borderId="0" xfId="0" applyFont="1"/>
  </cellXfs>
  <cellStyles count="1">
    <cellStyle name="Normal" xfId="0" builtinId="0"/>
  </cellStyles>
  <dxfs count="11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rlito"/>
        <scheme val="none"/>
      </font>
      <fill>
        <patternFill patternType="solid">
          <fgColor indexed="64"/>
          <bgColor rgb="FF5B9BD5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4D624A6-9613-4018-AE4A-A550D4D3A486}" name="Table7" displayName="Table7" ref="A5:I65" totalsRowShown="0" headerRowDxfId="10" dataDxfId="9">
  <autoFilter ref="A5:I65" xr:uid="{B2A9ED53-2DBD-40F7-8E49-1B6DFAA1F5B7}"/>
  <tableColumns count="9">
    <tableColumn id="1" xr3:uid="{0A3E402E-E45F-4E2C-98B1-A1672AE41F31}" name="Customer_ID" dataDxfId="8"/>
    <tableColumn id="2" xr3:uid="{B601027F-3631-4446-AF29-6991BC2CCA25}" name="Group" dataDxfId="7"/>
    <tableColumn id="3" xr3:uid="{A7094181-ECD0-47A3-B1BE-C271309D0A80}" name="Spend_Before" dataDxfId="6"/>
    <tableColumn id="4" xr3:uid="{04802323-5FB1-4D7E-9307-5D772432FAC1}" name="Spend_After" dataDxfId="5"/>
    <tableColumn id="8" xr3:uid="{7FDD8A28-1B1A-4695-BA6E-031F7FE58A6D}" name="Spend Difference" dataDxfId="4">
      <calculatedColumnFormula>Table7[[#This Row],[Spend_After]]-Table7[[#This Row],[Spend_Before]]</calculatedColumnFormula>
    </tableColumn>
    <tableColumn id="9" xr3:uid="{6E183730-7C62-453E-A151-7799F53AD774}" name="Difference Indicator" dataDxfId="3">
      <calculatedColumnFormula>IF(Table7[[#This Row],[Spend_After]]&gt;Table7[[#This Row],[Spend_Before]],"+VE","-VE")</calculatedColumnFormula>
    </tableColumn>
    <tableColumn id="5" xr3:uid="{240D7932-D5C6-4961-A27F-D2CA4026BCEB}" name="Campaign_Exposed" dataDxfId="2"/>
    <tableColumn id="6" xr3:uid="{CF7B38FF-6F10-4D30-BCB9-9E75C6AF7B99}" name="Days_Observed" dataDxfId="1"/>
    <tableColumn id="7" xr3:uid="{588AAA14-F368-4DF2-985B-374F01A608A0}" name="Segmen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F848D-A309-4C35-A02D-40A7D18A3317}">
  <dimension ref="A1:I151"/>
  <sheetViews>
    <sheetView tabSelected="1" workbookViewId="0">
      <selection activeCell="A151" sqref="A151"/>
    </sheetView>
  </sheetViews>
  <sheetFormatPr defaultRowHeight="13.8"/>
  <cols>
    <col min="1" max="1" width="18" customWidth="1"/>
    <col min="2" max="4" width="20" customWidth="1"/>
    <col min="5" max="5" width="22.59765625" bestFit="1" customWidth="1"/>
    <col min="6" max="6" width="22.59765625" customWidth="1"/>
    <col min="7" max="8" width="20" customWidth="1"/>
    <col min="9" max="9" width="12.796875" bestFit="1" customWidth="1"/>
  </cols>
  <sheetData>
    <row r="1" spans="1:9" ht="17.399999999999999">
      <c r="A1" s="1" t="s">
        <v>0</v>
      </c>
      <c r="B1" s="2"/>
      <c r="C1" s="2"/>
      <c r="D1" s="2"/>
      <c r="E1" s="2"/>
      <c r="F1" s="2"/>
      <c r="G1" s="2"/>
      <c r="H1" s="2"/>
    </row>
    <row r="2" spans="1:9" ht="69">
      <c r="A2" s="3" t="s">
        <v>1</v>
      </c>
      <c r="B2" s="3" t="s">
        <v>2</v>
      </c>
      <c r="C2" s="4"/>
      <c r="D2" s="4"/>
      <c r="E2" s="4"/>
      <c r="F2" s="4"/>
      <c r="G2" s="4"/>
      <c r="H2" s="4"/>
    </row>
    <row r="3" spans="1:9" ht="69">
      <c r="A3" s="3" t="s">
        <v>3</v>
      </c>
      <c r="B3" s="3" t="s">
        <v>4</v>
      </c>
      <c r="C3" s="4"/>
      <c r="D3" s="4"/>
      <c r="E3" s="4"/>
      <c r="F3" s="4"/>
      <c r="G3" s="4"/>
      <c r="H3" s="4"/>
    </row>
    <row r="4" spans="1:9">
      <c r="A4" s="5"/>
      <c r="B4" s="5"/>
      <c r="C4" s="4"/>
      <c r="D4" s="4"/>
      <c r="E4" s="4"/>
      <c r="F4" s="4"/>
      <c r="G4" s="4"/>
      <c r="H4" s="4"/>
    </row>
    <row r="5" spans="1:9">
      <c r="A5" s="6" t="s">
        <v>5</v>
      </c>
      <c r="B5" s="6" t="s">
        <v>6</v>
      </c>
      <c r="C5" s="6" t="s">
        <v>7</v>
      </c>
      <c r="D5" s="6" t="s">
        <v>8</v>
      </c>
      <c r="E5" s="6" t="s">
        <v>9</v>
      </c>
      <c r="F5" s="6" t="s">
        <v>10</v>
      </c>
      <c r="G5" s="6" t="s">
        <v>11</v>
      </c>
      <c r="H5" s="6" t="s">
        <v>12</v>
      </c>
      <c r="I5" s="6" t="s">
        <v>13</v>
      </c>
    </row>
    <row r="6" spans="1:9" s="4" customFormat="1">
      <c r="A6" s="4" t="s">
        <v>14</v>
      </c>
      <c r="B6" s="4" t="s">
        <v>15</v>
      </c>
      <c r="C6" s="4">
        <v>42</v>
      </c>
      <c r="D6" s="4">
        <v>54</v>
      </c>
      <c r="E6" s="4">
        <f>Table7[[#This Row],[Spend_After]]-Table7[[#This Row],[Spend_Before]]</f>
        <v>12</v>
      </c>
      <c r="F6" s="4" t="str">
        <f>IF(Table7[[#This Row],[Spend_After]]&gt;Table7[[#This Row],[Spend_Before]],"+VE","-VE")</f>
        <v>+VE</v>
      </c>
      <c r="G6" s="4" t="s">
        <v>16</v>
      </c>
      <c r="H6" s="4">
        <v>30</v>
      </c>
      <c r="I6" s="4" t="s">
        <v>17</v>
      </c>
    </row>
    <row r="7" spans="1:9" s="4" customFormat="1">
      <c r="A7" s="4" t="s">
        <v>18</v>
      </c>
      <c r="B7" s="4" t="s">
        <v>15</v>
      </c>
      <c r="C7" s="4">
        <v>144</v>
      </c>
      <c r="D7" s="4">
        <v>207</v>
      </c>
      <c r="E7" s="4">
        <f>Table7[[#This Row],[Spend_After]]-Table7[[#This Row],[Spend_Before]]</f>
        <v>63</v>
      </c>
      <c r="F7" s="4" t="str">
        <f>IF(Table7[[#This Row],[Spend_After]]&gt;Table7[[#This Row],[Spend_Before]],"+VE","-VE")</f>
        <v>+VE</v>
      </c>
      <c r="G7" s="4" t="s">
        <v>16</v>
      </c>
      <c r="H7" s="4">
        <v>30</v>
      </c>
      <c r="I7" s="4" t="s">
        <v>17</v>
      </c>
    </row>
    <row r="8" spans="1:9" s="4" customFormat="1">
      <c r="A8" s="4" t="s">
        <v>19</v>
      </c>
      <c r="B8" s="4" t="s">
        <v>15</v>
      </c>
      <c r="C8" s="4">
        <v>235</v>
      </c>
      <c r="D8" s="4">
        <v>272</v>
      </c>
      <c r="E8" s="4">
        <f>Table7[[#This Row],[Spend_After]]-Table7[[#This Row],[Spend_Before]]</f>
        <v>37</v>
      </c>
      <c r="F8" s="4" t="str">
        <f>IF(Table7[[#This Row],[Spend_After]]&gt;Table7[[#This Row],[Spend_Before]],"+VE","-VE")</f>
        <v>+VE</v>
      </c>
      <c r="G8" s="4" t="s">
        <v>16</v>
      </c>
      <c r="H8" s="4">
        <v>30</v>
      </c>
      <c r="I8" s="4" t="s">
        <v>17</v>
      </c>
    </row>
    <row r="9" spans="1:9" s="4" customFormat="1">
      <c r="A9" s="4" t="s">
        <v>20</v>
      </c>
      <c r="B9" s="4" t="s">
        <v>15</v>
      </c>
      <c r="C9" s="4">
        <v>168</v>
      </c>
      <c r="D9" s="4">
        <v>196</v>
      </c>
      <c r="E9" s="4">
        <f>Table7[[#This Row],[Spend_After]]-Table7[[#This Row],[Spend_Before]]</f>
        <v>28</v>
      </c>
      <c r="F9" s="4" t="str">
        <f>IF(Table7[[#This Row],[Spend_After]]&gt;Table7[[#This Row],[Spend_Before]],"+VE","-VE")</f>
        <v>+VE</v>
      </c>
      <c r="G9" s="4" t="s">
        <v>16</v>
      </c>
      <c r="H9" s="4">
        <v>30</v>
      </c>
      <c r="I9" s="4" t="s">
        <v>21</v>
      </c>
    </row>
    <row r="10" spans="1:9" s="4" customFormat="1">
      <c r="A10" s="4" t="s">
        <v>22</v>
      </c>
      <c r="B10" s="4" t="s">
        <v>15</v>
      </c>
      <c r="C10" s="4">
        <v>137</v>
      </c>
      <c r="D10" s="4">
        <v>163</v>
      </c>
      <c r="E10" s="4">
        <f>Table7[[#This Row],[Spend_After]]-Table7[[#This Row],[Spend_Before]]</f>
        <v>26</v>
      </c>
      <c r="F10" s="4" t="str">
        <f>IF(Table7[[#This Row],[Spend_After]]&gt;Table7[[#This Row],[Spend_Before]],"+VE","-VE")</f>
        <v>+VE</v>
      </c>
      <c r="G10" s="4" t="s">
        <v>16</v>
      </c>
      <c r="H10" s="4">
        <v>30</v>
      </c>
      <c r="I10" s="4" t="s">
        <v>23</v>
      </c>
    </row>
    <row r="11" spans="1:9" s="4" customFormat="1">
      <c r="A11" s="4" t="s">
        <v>24</v>
      </c>
      <c r="B11" s="4" t="s">
        <v>15</v>
      </c>
      <c r="C11" s="4">
        <v>118</v>
      </c>
      <c r="D11" s="4">
        <v>195</v>
      </c>
      <c r="E11" s="4">
        <f>Table7[[#This Row],[Spend_After]]-Table7[[#This Row],[Spend_Before]]</f>
        <v>77</v>
      </c>
      <c r="F11" s="4" t="str">
        <f>IF(Table7[[#This Row],[Spend_After]]&gt;Table7[[#This Row],[Spend_Before]],"+VE","-VE")</f>
        <v>+VE</v>
      </c>
      <c r="G11" s="4" t="s">
        <v>16</v>
      </c>
      <c r="H11" s="4">
        <v>30</v>
      </c>
      <c r="I11" s="4" t="s">
        <v>21</v>
      </c>
    </row>
    <row r="12" spans="1:9" s="4" customFormat="1">
      <c r="A12" s="4" t="s">
        <v>25</v>
      </c>
      <c r="B12" s="4" t="s">
        <v>15</v>
      </c>
      <c r="C12" s="4">
        <v>201</v>
      </c>
      <c r="D12" s="4">
        <v>241</v>
      </c>
      <c r="E12" s="4">
        <f>Table7[[#This Row],[Spend_After]]-Table7[[#This Row],[Spend_Before]]</f>
        <v>40</v>
      </c>
      <c r="F12" s="4" t="str">
        <f>IF(Table7[[#This Row],[Spend_After]]&gt;Table7[[#This Row],[Spend_Before]],"+VE","-VE")</f>
        <v>+VE</v>
      </c>
      <c r="G12" s="4" t="s">
        <v>16</v>
      </c>
      <c r="H12" s="4">
        <v>30</v>
      </c>
      <c r="I12" s="4" t="s">
        <v>17</v>
      </c>
    </row>
    <row r="13" spans="1:9" s="4" customFormat="1">
      <c r="A13" s="4" t="s">
        <v>26</v>
      </c>
      <c r="B13" s="4" t="s">
        <v>15</v>
      </c>
      <c r="C13" s="4">
        <v>239</v>
      </c>
      <c r="D13" s="4">
        <v>268</v>
      </c>
      <c r="E13" s="4">
        <f>Table7[[#This Row],[Spend_After]]-Table7[[#This Row],[Spend_Before]]</f>
        <v>29</v>
      </c>
      <c r="F13" s="4" t="str">
        <f>IF(Table7[[#This Row],[Spend_After]]&gt;Table7[[#This Row],[Spend_Before]],"+VE","-VE")</f>
        <v>+VE</v>
      </c>
      <c r="G13" s="4" t="s">
        <v>16</v>
      </c>
      <c r="H13" s="4">
        <v>30</v>
      </c>
      <c r="I13" s="4" t="s">
        <v>23</v>
      </c>
    </row>
    <row r="14" spans="1:9" s="4" customFormat="1">
      <c r="A14" s="4" t="s">
        <v>27</v>
      </c>
      <c r="B14" s="4" t="s">
        <v>15</v>
      </c>
      <c r="C14" s="4">
        <v>167</v>
      </c>
      <c r="D14" s="4">
        <v>239</v>
      </c>
      <c r="E14" s="4">
        <f>Table7[[#This Row],[Spend_After]]-Table7[[#This Row],[Spend_Before]]</f>
        <v>72</v>
      </c>
      <c r="F14" s="4" t="str">
        <f>IF(Table7[[#This Row],[Spend_After]]&gt;Table7[[#This Row],[Spend_Before]],"+VE","-VE")</f>
        <v>+VE</v>
      </c>
      <c r="G14" s="4" t="s">
        <v>16</v>
      </c>
      <c r="H14" s="4">
        <v>30</v>
      </c>
      <c r="I14" s="4" t="s">
        <v>23</v>
      </c>
    </row>
    <row r="15" spans="1:9" s="4" customFormat="1">
      <c r="A15" s="4" t="s">
        <v>28</v>
      </c>
      <c r="B15" s="4" t="s">
        <v>15</v>
      </c>
      <c r="C15" s="4">
        <v>78</v>
      </c>
      <c r="D15" s="4">
        <v>124</v>
      </c>
      <c r="E15" s="4">
        <f>Table7[[#This Row],[Spend_After]]-Table7[[#This Row],[Spend_Before]]</f>
        <v>46</v>
      </c>
      <c r="F15" s="4" t="str">
        <f>IF(Table7[[#This Row],[Spend_After]]&gt;Table7[[#This Row],[Spend_Before]],"+VE","-VE")</f>
        <v>+VE</v>
      </c>
      <c r="G15" s="4" t="s">
        <v>16</v>
      </c>
      <c r="H15" s="4">
        <v>30</v>
      </c>
      <c r="I15" s="4" t="s">
        <v>23</v>
      </c>
    </row>
    <row r="16" spans="1:9" s="4" customFormat="1">
      <c r="A16" s="4" t="s">
        <v>29</v>
      </c>
      <c r="B16" s="4" t="s">
        <v>15</v>
      </c>
      <c r="C16" s="4">
        <v>152</v>
      </c>
      <c r="D16" s="4">
        <v>221</v>
      </c>
      <c r="E16" s="4">
        <f>Table7[[#This Row],[Spend_After]]-Table7[[#This Row],[Spend_Before]]</f>
        <v>69</v>
      </c>
      <c r="F16" s="4" t="str">
        <f>IF(Table7[[#This Row],[Spend_After]]&gt;Table7[[#This Row],[Spend_Before]],"+VE","-VE")</f>
        <v>+VE</v>
      </c>
      <c r="G16" s="4" t="s">
        <v>16</v>
      </c>
      <c r="H16" s="4">
        <v>30</v>
      </c>
      <c r="I16" s="4" t="s">
        <v>17</v>
      </c>
    </row>
    <row r="17" spans="1:9" s="4" customFormat="1">
      <c r="A17" s="4" t="s">
        <v>30</v>
      </c>
      <c r="B17" s="4" t="s">
        <v>15</v>
      </c>
      <c r="C17" s="4">
        <v>159</v>
      </c>
      <c r="D17" s="4">
        <v>201</v>
      </c>
      <c r="E17" s="4">
        <f>Table7[[#This Row],[Spend_After]]-Table7[[#This Row],[Spend_Before]]</f>
        <v>42</v>
      </c>
      <c r="F17" s="4" t="str">
        <f>IF(Table7[[#This Row],[Spend_After]]&gt;Table7[[#This Row],[Spend_Before]],"+VE","-VE")</f>
        <v>+VE</v>
      </c>
      <c r="G17" s="4" t="s">
        <v>16</v>
      </c>
      <c r="H17" s="4">
        <v>30</v>
      </c>
      <c r="I17" s="4" t="s">
        <v>21</v>
      </c>
    </row>
    <row r="18" spans="1:9" s="4" customFormat="1">
      <c r="A18" s="4" t="s">
        <v>31</v>
      </c>
      <c r="B18" s="4" t="s">
        <v>15</v>
      </c>
      <c r="C18" s="4">
        <v>58</v>
      </c>
      <c r="D18" s="4">
        <v>103</v>
      </c>
      <c r="E18" s="4">
        <f>Table7[[#This Row],[Spend_After]]-Table7[[#This Row],[Spend_Before]]</f>
        <v>45</v>
      </c>
      <c r="F18" s="4" t="str">
        <f>IF(Table7[[#This Row],[Spend_After]]&gt;Table7[[#This Row],[Spend_Before]],"+VE","-VE")</f>
        <v>+VE</v>
      </c>
      <c r="G18" s="4" t="s">
        <v>16</v>
      </c>
      <c r="H18" s="4">
        <v>30</v>
      </c>
      <c r="I18" s="4" t="s">
        <v>17</v>
      </c>
    </row>
    <row r="19" spans="1:9" s="4" customFormat="1">
      <c r="A19" s="4" t="s">
        <v>32</v>
      </c>
      <c r="B19" s="4" t="s">
        <v>15</v>
      </c>
      <c r="C19" s="4">
        <v>126</v>
      </c>
      <c r="D19" s="4">
        <v>165</v>
      </c>
      <c r="E19" s="4">
        <f>Table7[[#This Row],[Spend_After]]-Table7[[#This Row],[Spend_Before]]</f>
        <v>39</v>
      </c>
      <c r="F19" s="4" t="str">
        <f>IF(Table7[[#This Row],[Spend_After]]&gt;Table7[[#This Row],[Spend_Before]],"+VE","-VE")</f>
        <v>+VE</v>
      </c>
      <c r="G19" s="4" t="s">
        <v>16</v>
      </c>
      <c r="H19" s="4">
        <v>30</v>
      </c>
      <c r="I19" s="4" t="s">
        <v>23</v>
      </c>
    </row>
    <row r="20" spans="1:9" s="4" customFormat="1">
      <c r="A20" s="4" t="s">
        <v>33</v>
      </c>
      <c r="B20" s="4" t="s">
        <v>15</v>
      </c>
      <c r="C20" s="4">
        <v>257</v>
      </c>
      <c r="D20" s="4">
        <v>299</v>
      </c>
      <c r="E20" s="4">
        <f>Table7[[#This Row],[Spend_After]]-Table7[[#This Row],[Spend_Before]]</f>
        <v>42</v>
      </c>
      <c r="F20" s="4" t="str">
        <f>IF(Table7[[#This Row],[Spend_After]]&gt;Table7[[#This Row],[Spend_Before]],"+VE","-VE")</f>
        <v>+VE</v>
      </c>
      <c r="G20" s="4" t="s">
        <v>16</v>
      </c>
      <c r="H20" s="4">
        <v>30</v>
      </c>
      <c r="I20" s="4" t="s">
        <v>23</v>
      </c>
    </row>
    <row r="21" spans="1:9" s="4" customFormat="1">
      <c r="A21" s="4" t="s">
        <v>34</v>
      </c>
      <c r="B21" s="4" t="s">
        <v>15</v>
      </c>
      <c r="C21" s="4">
        <v>252</v>
      </c>
      <c r="D21" s="4">
        <v>262</v>
      </c>
      <c r="E21" s="4">
        <f>Table7[[#This Row],[Spend_After]]-Table7[[#This Row],[Spend_Before]]</f>
        <v>10</v>
      </c>
      <c r="F21" s="4" t="str">
        <f>IF(Table7[[#This Row],[Spend_After]]&gt;Table7[[#This Row],[Spend_Before]],"+VE","-VE")</f>
        <v>+VE</v>
      </c>
      <c r="G21" s="4" t="s">
        <v>16</v>
      </c>
      <c r="H21" s="4">
        <v>30</v>
      </c>
      <c r="I21" s="4" t="s">
        <v>23</v>
      </c>
    </row>
    <row r="22" spans="1:9" s="4" customFormat="1">
      <c r="A22" s="4" t="s">
        <v>35</v>
      </c>
      <c r="B22" s="4" t="s">
        <v>15</v>
      </c>
      <c r="C22" s="4">
        <v>59</v>
      </c>
      <c r="D22" s="4">
        <v>81</v>
      </c>
      <c r="E22" s="4">
        <f>Table7[[#This Row],[Spend_After]]-Table7[[#This Row],[Spend_Before]]</f>
        <v>22</v>
      </c>
      <c r="F22" s="4" t="str">
        <f>IF(Table7[[#This Row],[Spend_After]]&gt;Table7[[#This Row],[Spend_Before]],"+VE","-VE")</f>
        <v>+VE</v>
      </c>
      <c r="G22" s="4" t="s">
        <v>16</v>
      </c>
      <c r="H22" s="4">
        <v>30</v>
      </c>
      <c r="I22" s="4" t="s">
        <v>23</v>
      </c>
    </row>
    <row r="23" spans="1:9" s="4" customFormat="1">
      <c r="A23" s="4" t="s">
        <v>36</v>
      </c>
      <c r="B23" s="4" t="s">
        <v>15</v>
      </c>
      <c r="C23" s="4">
        <v>94</v>
      </c>
      <c r="D23" s="4">
        <v>134</v>
      </c>
      <c r="E23" s="4">
        <f>Table7[[#This Row],[Spend_After]]-Table7[[#This Row],[Spend_Before]]</f>
        <v>40</v>
      </c>
      <c r="F23" s="4" t="str">
        <f>IF(Table7[[#This Row],[Spend_After]]&gt;Table7[[#This Row],[Spend_Before]],"+VE","-VE")</f>
        <v>+VE</v>
      </c>
      <c r="G23" s="4" t="s">
        <v>16</v>
      </c>
      <c r="H23" s="4">
        <v>30</v>
      </c>
      <c r="I23" s="4" t="s">
        <v>17</v>
      </c>
    </row>
    <row r="24" spans="1:9" s="4" customFormat="1">
      <c r="A24" s="4" t="s">
        <v>37</v>
      </c>
      <c r="B24" s="4" t="s">
        <v>15</v>
      </c>
      <c r="C24" s="4">
        <v>204</v>
      </c>
      <c r="D24" s="4">
        <v>271</v>
      </c>
      <c r="E24" s="4">
        <f>Table7[[#This Row],[Spend_After]]-Table7[[#This Row],[Spend_Before]]</f>
        <v>67</v>
      </c>
      <c r="F24" s="4" t="str">
        <f>IF(Table7[[#This Row],[Spend_After]]&gt;Table7[[#This Row],[Spend_Before]],"+VE","-VE")</f>
        <v>+VE</v>
      </c>
      <c r="G24" s="4" t="s">
        <v>16</v>
      </c>
      <c r="H24" s="4">
        <v>30</v>
      </c>
      <c r="I24" s="4" t="s">
        <v>17</v>
      </c>
    </row>
    <row r="25" spans="1:9" s="4" customFormat="1">
      <c r="A25" s="4" t="s">
        <v>38</v>
      </c>
      <c r="B25" s="4" t="s">
        <v>15</v>
      </c>
      <c r="C25" s="4">
        <v>93</v>
      </c>
      <c r="D25" s="4">
        <v>111</v>
      </c>
      <c r="E25" s="4">
        <f>Table7[[#This Row],[Spend_After]]-Table7[[#This Row],[Spend_Before]]</f>
        <v>18</v>
      </c>
      <c r="F25" s="4" t="str">
        <f>IF(Table7[[#This Row],[Spend_After]]&gt;Table7[[#This Row],[Spend_Before]],"+VE","-VE")</f>
        <v>+VE</v>
      </c>
      <c r="G25" s="4" t="s">
        <v>16</v>
      </c>
      <c r="H25" s="4">
        <v>30</v>
      </c>
      <c r="I25" s="4" t="s">
        <v>23</v>
      </c>
    </row>
    <row r="26" spans="1:9" s="4" customFormat="1">
      <c r="A26" s="4" t="s">
        <v>39</v>
      </c>
      <c r="B26" s="4" t="s">
        <v>15</v>
      </c>
      <c r="C26" s="4">
        <v>115</v>
      </c>
      <c r="D26" s="4">
        <v>186</v>
      </c>
      <c r="E26" s="4">
        <f>Table7[[#This Row],[Spend_After]]-Table7[[#This Row],[Spend_Before]]</f>
        <v>71</v>
      </c>
      <c r="F26" s="4" t="str">
        <f>IF(Table7[[#This Row],[Spend_After]]&gt;Table7[[#This Row],[Spend_Before]],"+VE","-VE")</f>
        <v>+VE</v>
      </c>
      <c r="G26" s="4" t="s">
        <v>16</v>
      </c>
      <c r="H26" s="4">
        <v>30</v>
      </c>
      <c r="I26" s="4" t="s">
        <v>21</v>
      </c>
    </row>
    <row r="27" spans="1:9" s="4" customFormat="1">
      <c r="A27" s="4" t="s">
        <v>40</v>
      </c>
      <c r="B27" s="4" t="s">
        <v>15</v>
      </c>
      <c r="C27" s="4">
        <v>79</v>
      </c>
      <c r="D27" s="4">
        <v>92</v>
      </c>
      <c r="E27" s="4">
        <f>Table7[[#This Row],[Spend_After]]-Table7[[#This Row],[Spend_Before]]</f>
        <v>13</v>
      </c>
      <c r="F27" s="4" t="str">
        <f>IF(Table7[[#This Row],[Spend_After]]&gt;Table7[[#This Row],[Spend_Before]],"+VE","-VE")</f>
        <v>+VE</v>
      </c>
      <c r="G27" s="4" t="s">
        <v>16</v>
      </c>
      <c r="H27" s="4">
        <v>30</v>
      </c>
      <c r="I27" s="4" t="s">
        <v>23</v>
      </c>
    </row>
    <row r="28" spans="1:9" s="4" customFormat="1">
      <c r="A28" s="4" t="s">
        <v>41</v>
      </c>
      <c r="B28" s="4" t="s">
        <v>15</v>
      </c>
      <c r="C28" s="4">
        <v>253</v>
      </c>
      <c r="D28" s="4">
        <v>325</v>
      </c>
      <c r="E28" s="4">
        <f>Table7[[#This Row],[Spend_After]]-Table7[[#This Row],[Spend_Before]]</f>
        <v>72</v>
      </c>
      <c r="F28" s="4" t="str">
        <f>IF(Table7[[#This Row],[Spend_After]]&gt;Table7[[#This Row],[Spend_Before]],"+VE","-VE")</f>
        <v>+VE</v>
      </c>
      <c r="G28" s="4" t="s">
        <v>16</v>
      </c>
      <c r="H28" s="4">
        <v>30</v>
      </c>
      <c r="I28" s="4" t="s">
        <v>17</v>
      </c>
    </row>
    <row r="29" spans="1:9" s="4" customFormat="1">
      <c r="A29" s="4" t="s">
        <v>42</v>
      </c>
      <c r="B29" s="4" t="s">
        <v>15</v>
      </c>
      <c r="C29" s="4">
        <v>108</v>
      </c>
      <c r="D29" s="4">
        <v>154</v>
      </c>
      <c r="E29" s="4">
        <f>Table7[[#This Row],[Spend_After]]-Table7[[#This Row],[Spend_Before]]</f>
        <v>46</v>
      </c>
      <c r="F29" s="4" t="str">
        <f>IF(Table7[[#This Row],[Spend_After]]&gt;Table7[[#This Row],[Spend_Before]],"+VE","-VE")</f>
        <v>+VE</v>
      </c>
      <c r="G29" s="4" t="s">
        <v>16</v>
      </c>
      <c r="H29" s="4">
        <v>30</v>
      </c>
      <c r="I29" s="4" t="s">
        <v>17</v>
      </c>
    </row>
    <row r="30" spans="1:9" s="4" customFormat="1">
      <c r="A30" s="4" t="s">
        <v>43</v>
      </c>
      <c r="B30" s="4" t="s">
        <v>15</v>
      </c>
      <c r="C30" s="4">
        <v>148</v>
      </c>
      <c r="D30" s="4">
        <v>213</v>
      </c>
      <c r="E30" s="4">
        <f>Table7[[#This Row],[Spend_After]]-Table7[[#This Row],[Spend_Before]]</f>
        <v>65</v>
      </c>
      <c r="F30" s="4" t="str">
        <f>IF(Table7[[#This Row],[Spend_After]]&gt;Table7[[#This Row],[Spend_Before]],"+VE","-VE")</f>
        <v>+VE</v>
      </c>
      <c r="G30" s="4" t="s">
        <v>16</v>
      </c>
      <c r="H30" s="4">
        <v>30</v>
      </c>
      <c r="I30" s="4" t="s">
        <v>21</v>
      </c>
    </row>
    <row r="31" spans="1:9" s="4" customFormat="1">
      <c r="A31" s="4" t="s">
        <v>44</v>
      </c>
      <c r="B31" s="4" t="s">
        <v>15</v>
      </c>
      <c r="C31" s="4">
        <v>62</v>
      </c>
      <c r="D31" s="4">
        <v>80</v>
      </c>
      <c r="E31" s="4">
        <f>Table7[[#This Row],[Spend_After]]-Table7[[#This Row],[Spend_Before]]</f>
        <v>18</v>
      </c>
      <c r="F31" s="4" t="str">
        <f>IF(Table7[[#This Row],[Spend_After]]&gt;Table7[[#This Row],[Spend_Before]],"+VE","-VE")</f>
        <v>+VE</v>
      </c>
      <c r="G31" s="4" t="s">
        <v>16</v>
      </c>
      <c r="H31" s="4">
        <v>30</v>
      </c>
      <c r="I31" s="4" t="s">
        <v>21</v>
      </c>
    </row>
    <row r="32" spans="1:9" s="4" customFormat="1">
      <c r="A32" s="4" t="s">
        <v>45</v>
      </c>
      <c r="B32" s="4" t="s">
        <v>15</v>
      </c>
      <c r="C32" s="4">
        <v>84</v>
      </c>
      <c r="D32" s="4">
        <v>145</v>
      </c>
      <c r="E32" s="4">
        <f>Table7[[#This Row],[Spend_After]]-Table7[[#This Row],[Spend_Before]]</f>
        <v>61</v>
      </c>
      <c r="F32" s="4" t="str">
        <f>IF(Table7[[#This Row],[Spend_After]]&gt;Table7[[#This Row],[Spend_Before]],"+VE","-VE")</f>
        <v>+VE</v>
      </c>
      <c r="G32" s="4" t="s">
        <v>16</v>
      </c>
      <c r="H32" s="4">
        <v>30</v>
      </c>
      <c r="I32" s="4" t="s">
        <v>23</v>
      </c>
    </row>
    <row r="33" spans="1:9" s="4" customFormat="1">
      <c r="A33" s="4" t="s">
        <v>46</v>
      </c>
      <c r="B33" s="4" t="s">
        <v>15</v>
      </c>
      <c r="C33" s="4">
        <v>208</v>
      </c>
      <c r="D33" s="4">
        <v>256</v>
      </c>
      <c r="E33" s="4">
        <f>Table7[[#This Row],[Spend_After]]-Table7[[#This Row],[Spend_Before]]</f>
        <v>48</v>
      </c>
      <c r="F33" s="4" t="str">
        <f>IF(Table7[[#This Row],[Spend_After]]&gt;Table7[[#This Row],[Spend_Before]],"+VE","-VE")</f>
        <v>+VE</v>
      </c>
      <c r="G33" s="4" t="s">
        <v>16</v>
      </c>
      <c r="H33" s="4">
        <v>30</v>
      </c>
      <c r="I33" s="4" t="s">
        <v>23</v>
      </c>
    </row>
    <row r="34" spans="1:9" s="4" customFormat="1">
      <c r="A34" s="4" t="s">
        <v>47</v>
      </c>
      <c r="B34" s="4" t="s">
        <v>15</v>
      </c>
      <c r="C34" s="4">
        <v>133</v>
      </c>
      <c r="D34" s="4">
        <v>208</v>
      </c>
      <c r="E34" s="4">
        <f>Table7[[#This Row],[Spend_After]]-Table7[[#This Row],[Spend_Before]]</f>
        <v>75</v>
      </c>
      <c r="F34" s="4" t="str">
        <f>IF(Table7[[#This Row],[Spend_After]]&gt;Table7[[#This Row],[Spend_Before]],"+VE","-VE")</f>
        <v>+VE</v>
      </c>
      <c r="G34" s="4" t="s">
        <v>16</v>
      </c>
      <c r="H34" s="4">
        <v>30</v>
      </c>
      <c r="I34" s="4" t="s">
        <v>17</v>
      </c>
    </row>
    <row r="35" spans="1:9" s="4" customFormat="1">
      <c r="A35" s="4" t="s">
        <v>48</v>
      </c>
      <c r="B35" s="4" t="s">
        <v>15</v>
      </c>
      <c r="C35" s="4">
        <v>108</v>
      </c>
      <c r="D35" s="4">
        <v>154</v>
      </c>
      <c r="E35" s="4">
        <f>Table7[[#This Row],[Spend_After]]-Table7[[#This Row],[Spend_Before]]</f>
        <v>46</v>
      </c>
      <c r="F35" s="4" t="str">
        <f>IF(Table7[[#This Row],[Spend_After]]&gt;Table7[[#This Row],[Spend_Before]],"+VE","-VE")</f>
        <v>+VE</v>
      </c>
      <c r="G35" s="4" t="s">
        <v>16</v>
      </c>
      <c r="H35" s="4">
        <v>30</v>
      </c>
      <c r="I35" s="4" t="s">
        <v>17</v>
      </c>
    </row>
    <row r="36" spans="1:9" s="4" customFormat="1">
      <c r="A36" s="4" t="s">
        <v>49</v>
      </c>
      <c r="B36" s="4" t="s">
        <v>50</v>
      </c>
      <c r="C36" s="4">
        <v>128</v>
      </c>
      <c r="D36" s="4">
        <v>123</v>
      </c>
      <c r="E36" s="4">
        <f>Table7[[#This Row],[Spend_After]]-Table7[[#This Row],[Spend_Before]]</f>
        <v>-5</v>
      </c>
      <c r="F36" s="4" t="str">
        <f>IF(Table7[[#This Row],[Spend_After]]&gt;Table7[[#This Row],[Spend_Before]],"+VE","-VE")</f>
        <v>-VE</v>
      </c>
      <c r="G36" s="4" t="s">
        <v>51</v>
      </c>
      <c r="H36" s="4">
        <v>30</v>
      </c>
      <c r="I36" s="4" t="s">
        <v>23</v>
      </c>
    </row>
    <row r="37" spans="1:9" s="4" customFormat="1">
      <c r="A37" s="4" t="s">
        <v>52</v>
      </c>
      <c r="B37" s="4" t="s">
        <v>50</v>
      </c>
      <c r="C37" s="4">
        <v>103</v>
      </c>
      <c r="D37" s="4">
        <v>123</v>
      </c>
      <c r="E37" s="4">
        <f>Table7[[#This Row],[Spend_After]]-Table7[[#This Row],[Spend_Before]]</f>
        <v>20</v>
      </c>
      <c r="F37" s="4" t="str">
        <f>IF(Table7[[#This Row],[Spend_After]]&gt;Table7[[#This Row],[Spend_Before]],"+VE","-VE")</f>
        <v>+VE</v>
      </c>
      <c r="G37" s="4" t="s">
        <v>51</v>
      </c>
      <c r="H37" s="4">
        <v>30</v>
      </c>
      <c r="I37" s="4" t="s">
        <v>23</v>
      </c>
    </row>
    <row r="38" spans="1:9" s="4" customFormat="1">
      <c r="A38" s="4" t="s">
        <v>53</v>
      </c>
      <c r="B38" s="4" t="s">
        <v>50</v>
      </c>
      <c r="C38" s="4">
        <v>58</v>
      </c>
      <c r="D38" s="4">
        <v>41</v>
      </c>
      <c r="E38" s="4">
        <f>Table7[[#This Row],[Spend_After]]-Table7[[#This Row],[Spend_Before]]</f>
        <v>-17</v>
      </c>
      <c r="F38" s="4" t="str">
        <f>IF(Table7[[#This Row],[Spend_After]]&gt;Table7[[#This Row],[Spend_Before]],"+VE","-VE")</f>
        <v>-VE</v>
      </c>
      <c r="G38" s="4" t="s">
        <v>51</v>
      </c>
      <c r="H38" s="4">
        <v>30</v>
      </c>
      <c r="I38" s="4" t="s">
        <v>21</v>
      </c>
    </row>
    <row r="39" spans="1:9" s="4" customFormat="1">
      <c r="A39" s="4" t="s">
        <v>54</v>
      </c>
      <c r="B39" s="4" t="s">
        <v>50</v>
      </c>
      <c r="C39" s="4">
        <v>245</v>
      </c>
      <c r="D39" s="4">
        <v>229</v>
      </c>
      <c r="E39" s="4">
        <f>Table7[[#This Row],[Spend_After]]-Table7[[#This Row],[Spend_Before]]</f>
        <v>-16</v>
      </c>
      <c r="F39" s="4" t="str">
        <f>IF(Table7[[#This Row],[Spend_After]]&gt;Table7[[#This Row],[Spend_Before]],"+VE","-VE")</f>
        <v>-VE</v>
      </c>
      <c r="G39" s="4" t="s">
        <v>51</v>
      </c>
      <c r="H39" s="4">
        <v>30</v>
      </c>
      <c r="I39" s="4" t="s">
        <v>21</v>
      </c>
    </row>
    <row r="40" spans="1:9" s="4" customFormat="1">
      <c r="A40" s="4" t="s">
        <v>55</v>
      </c>
      <c r="B40" s="4" t="s">
        <v>50</v>
      </c>
      <c r="C40" s="4">
        <v>109</v>
      </c>
      <c r="D40" s="4">
        <v>91</v>
      </c>
      <c r="E40" s="4">
        <f>Table7[[#This Row],[Spend_After]]-Table7[[#This Row],[Spend_Before]]</f>
        <v>-18</v>
      </c>
      <c r="F40" s="4" t="str">
        <f>IF(Table7[[#This Row],[Spend_After]]&gt;Table7[[#This Row],[Spend_Before]],"+VE","-VE")</f>
        <v>-VE</v>
      </c>
      <c r="G40" s="4" t="s">
        <v>51</v>
      </c>
      <c r="H40" s="4">
        <v>30</v>
      </c>
      <c r="I40" s="4" t="s">
        <v>17</v>
      </c>
    </row>
    <row r="41" spans="1:9" s="4" customFormat="1">
      <c r="A41" s="4" t="s">
        <v>56</v>
      </c>
      <c r="B41" s="4" t="s">
        <v>50</v>
      </c>
      <c r="C41" s="4">
        <v>70</v>
      </c>
      <c r="D41" s="4">
        <v>93</v>
      </c>
      <c r="E41" s="4">
        <f>Table7[[#This Row],[Spend_After]]-Table7[[#This Row],[Spend_Before]]</f>
        <v>23</v>
      </c>
      <c r="F41" s="4" t="str">
        <f>IF(Table7[[#This Row],[Spend_After]]&gt;Table7[[#This Row],[Spend_Before]],"+VE","-VE")</f>
        <v>+VE</v>
      </c>
      <c r="G41" s="4" t="s">
        <v>51</v>
      </c>
      <c r="H41" s="4">
        <v>30</v>
      </c>
      <c r="I41" s="4" t="s">
        <v>21</v>
      </c>
    </row>
    <row r="42" spans="1:9" s="4" customFormat="1">
      <c r="A42" s="4" t="s">
        <v>57</v>
      </c>
      <c r="B42" s="4" t="s">
        <v>50</v>
      </c>
      <c r="C42" s="4">
        <v>198</v>
      </c>
      <c r="D42" s="4">
        <v>192</v>
      </c>
      <c r="E42" s="4">
        <f>Table7[[#This Row],[Spend_After]]-Table7[[#This Row],[Spend_Before]]</f>
        <v>-6</v>
      </c>
      <c r="F42" s="4" t="str">
        <f>IF(Table7[[#This Row],[Spend_After]]&gt;Table7[[#This Row],[Spend_Before]],"+VE","-VE")</f>
        <v>-VE</v>
      </c>
      <c r="G42" s="4" t="s">
        <v>51</v>
      </c>
      <c r="H42" s="4">
        <v>30</v>
      </c>
      <c r="I42" s="4" t="s">
        <v>17</v>
      </c>
    </row>
    <row r="43" spans="1:9" s="4" customFormat="1">
      <c r="A43" s="4" t="s">
        <v>58</v>
      </c>
      <c r="B43" s="4" t="s">
        <v>50</v>
      </c>
      <c r="C43" s="4">
        <v>143</v>
      </c>
      <c r="D43" s="4">
        <v>146</v>
      </c>
      <c r="E43" s="4">
        <f>Table7[[#This Row],[Spend_After]]-Table7[[#This Row],[Spend_Before]]</f>
        <v>3</v>
      </c>
      <c r="F43" s="4" t="str">
        <f>IF(Table7[[#This Row],[Spend_After]]&gt;Table7[[#This Row],[Spend_Before]],"+VE","-VE")</f>
        <v>+VE</v>
      </c>
      <c r="G43" s="4" t="s">
        <v>51</v>
      </c>
      <c r="H43" s="4">
        <v>30</v>
      </c>
      <c r="I43" s="4" t="s">
        <v>17</v>
      </c>
    </row>
    <row r="44" spans="1:9" s="4" customFormat="1">
      <c r="A44" s="4" t="s">
        <v>59</v>
      </c>
      <c r="B44" s="4" t="s">
        <v>50</v>
      </c>
      <c r="C44" s="4">
        <v>229</v>
      </c>
      <c r="D44" s="4">
        <v>258</v>
      </c>
      <c r="E44" s="4">
        <f>Table7[[#This Row],[Spend_After]]-Table7[[#This Row],[Spend_Before]]</f>
        <v>29</v>
      </c>
      <c r="F44" s="4" t="str">
        <f>IF(Table7[[#This Row],[Spend_After]]&gt;Table7[[#This Row],[Spend_Before]],"+VE","-VE")</f>
        <v>+VE</v>
      </c>
      <c r="G44" s="4" t="s">
        <v>51</v>
      </c>
      <c r="H44" s="4">
        <v>30</v>
      </c>
      <c r="I44" s="4" t="s">
        <v>23</v>
      </c>
    </row>
    <row r="45" spans="1:9" s="4" customFormat="1">
      <c r="A45" s="4" t="s">
        <v>60</v>
      </c>
      <c r="B45" s="4" t="s">
        <v>50</v>
      </c>
      <c r="C45" s="4">
        <v>85</v>
      </c>
      <c r="D45" s="4">
        <v>88</v>
      </c>
      <c r="E45" s="4">
        <f>Table7[[#This Row],[Spend_After]]-Table7[[#This Row],[Spend_Before]]</f>
        <v>3</v>
      </c>
      <c r="F45" s="4" t="str">
        <f>IF(Table7[[#This Row],[Spend_After]]&gt;Table7[[#This Row],[Spend_Before]],"+VE","-VE")</f>
        <v>+VE</v>
      </c>
      <c r="G45" s="4" t="s">
        <v>51</v>
      </c>
      <c r="H45" s="4">
        <v>30</v>
      </c>
      <c r="I45" s="4" t="s">
        <v>23</v>
      </c>
    </row>
    <row r="46" spans="1:9" s="4" customFormat="1">
      <c r="A46" s="4" t="s">
        <v>61</v>
      </c>
      <c r="B46" s="4" t="s">
        <v>50</v>
      </c>
      <c r="C46" s="4">
        <v>116</v>
      </c>
      <c r="D46" s="4">
        <v>103</v>
      </c>
      <c r="E46" s="4">
        <f>Table7[[#This Row],[Spend_After]]-Table7[[#This Row],[Spend_Before]]</f>
        <v>-13</v>
      </c>
      <c r="F46" s="4" t="str">
        <f>IF(Table7[[#This Row],[Spend_After]]&gt;Table7[[#This Row],[Spend_Before]],"+VE","-VE")</f>
        <v>-VE</v>
      </c>
      <c r="G46" s="4" t="s">
        <v>51</v>
      </c>
      <c r="H46" s="4">
        <v>30</v>
      </c>
      <c r="I46" s="4" t="s">
        <v>23</v>
      </c>
    </row>
    <row r="47" spans="1:9" s="4" customFormat="1">
      <c r="A47" s="4" t="s">
        <v>62</v>
      </c>
      <c r="B47" s="4" t="s">
        <v>50</v>
      </c>
      <c r="C47" s="4">
        <v>234</v>
      </c>
      <c r="D47" s="4">
        <v>240</v>
      </c>
      <c r="E47" s="4">
        <f>Table7[[#This Row],[Spend_After]]-Table7[[#This Row],[Spend_Before]]</f>
        <v>6</v>
      </c>
      <c r="F47" s="4" t="str">
        <f>IF(Table7[[#This Row],[Spend_After]]&gt;Table7[[#This Row],[Spend_Before]],"+VE","-VE")</f>
        <v>+VE</v>
      </c>
      <c r="G47" s="4" t="s">
        <v>51</v>
      </c>
      <c r="H47" s="4">
        <v>30</v>
      </c>
      <c r="I47" s="4" t="s">
        <v>21</v>
      </c>
    </row>
    <row r="48" spans="1:9" s="4" customFormat="1">
      <c r="A48" s="4" t="s">
        <v>63</v>
      </c>
      <c r="B48" s="4" t="s">
        <v>50</v>
      </c>
      <c r="C48" s="4">
        <v>162</v>
      </c>
      <c r="D48" s="4">
        <v>167</v>
      </c>
      <c r="E48" s="4">
        <f>Table7[[#This Row],[Spend_After]]-Table7[[#This Row],[Spend_Before]]</f>
        <v>5</v>
      </c>
      <c r="F48" s="4" t="str">
        <f>IF(Table7[[#This Row],[Spend_After]]&gt;Table7[[#This Row],[Spend_Before]],"+VE","-VE")</f>
        <v>+VE</v>
      </c>
      <c r="G48" s="4" t="s">
        <v>51</v>
      </c>
      <c r="H48" s="4">
        <v>30</v>
      </c>
      <c r="I48" s="4" t="s">
        <v>17</v>
      </c>
    </row>
    <row r="49" spans="1:9" s="4" customFormat="1">
      <c r="A49" s="4" t="s">
        <v>64</v>
      </c>
      <c r="B49" s="4" t="s">
        <v>50</v>
      </c>
      <c r="C49" s="4">
        <v>229</v>
      </c>
      <c r="D49" s="4">
        <v>237</v>
      </c>
      <c r="E49" s="4">
        <f>Table7[[#This Row],[Spend_After]]-Table7[[#This Row],[Spend_Before]]</f>
        <v>8</v>
      </c>
      <c r="F49" s="4" t="str">
        <f>IF(Table7[[#This Row],[Spend_After]]&gt;Table7[[#This Row],[Spend_Before]],"+VE","-VE")</f>
        <v>+VE</v>
      </c>
      <c r="G49" s="4" t="s">
        <v>51</v>
      </c>
      <c r="H49" s="4">
        <v>30</v>
      </c>
      <c r="I49" s="4" t="s">
        <v>21</v>
      </c>
    </row>
    <row r="50" spans="1:9" s="4" customFormat="1">
      <c r="A50" s="4" t="s">
        <v>65</v>
      </c>
      <c r="B50" s="4" t="s">
        <v>50</v>
      </c>
      <c r="C50" s="4">
        <v>158</v>
      </c>
      <c r="D50" s="4">
        <v>184</v>
      </c>
      <c r="E50" s="4">
        <f>Table7[[#This Row],[Spend_After]]-Table7[[#This Row],[Spend_Before]]</f>
        <v>26</v>
      </c>
      <c r="F50" s="4" t="str">
        <f>IF(Table7[[#This Row],[Spend_After]]&gt;Table7[[#This Row],[Spend_Before]],"+VE","-VE")</f>
        <v>+VE</v>
      </c>
      <c r="G50" s="4" t="s">
        <v>51</v>
      </c>
      <c r="H50" s="4">
        <v>30</v>
      </c>
      <c r="I50" s="4" t="s">
        <v>23</v>
      </c>
    </row>
    <row r="51" spans="1:9" s="4" customFormat="1">
      <c r="A51" s="4" t="s">
        <v>66</v>
      </c>
      <c r="B51" s="4" t="s">
        <v>50</v>
      </c>
      <c r="C51" s="4">
        <v>135</v>
      </c>
      <c r="D51" s="4">
        <v>128</v>
      </c>
      <c r="E51" s="4">
        <f>Table7[[#This Row],[Spend_After]]-Table7[[#This Row],[Spend_Before]]</f>
        <v>-7</v>
      </c>
      <c r="F51" s="4" t="str">
        <f>IF(Table7[[#This Row],[Spend_After]]&gt;Table7[[#This Row],[Spend_Before]],"+VE","-VE")</f>
        <v>-VE</v>
      </c>
      <c r="G51" s="4" t="s">
        <v>51</v>
      </c>
      <c r="H51" s="4">
        <v>30</v>
      </c>
      <c r="I51" s="4" t="s">
        <v>23</v>
      </c>
    </row>
    <row r="52" spans="1:9" s="4" customFormat="1">
      <c r="A52" s="4" t="s">
        <v>67</v>
      </c>
      <c r="B52" s="4" t="s">
        <v>50</v>
      </c>
      <c r="C52" s="4">
        <v>75</v>
      </c>
      <c r="D52" s="4">
        <v>99</v>
      </c>
      <c r="E52" s="4">
        <f>Table7[[#This Row],[Spend_After]]-Table7[[#This Row],[Spend_Before]]</f>
        <v>24</v>
      </c>
      <c r="F52" s="4" t="str">
        <f>IF(Table7[[#This Row],[Spend_After]]&gt;Table7[[#This Row],[Spend_Before]],"+VE","-VE")</f>
        <v>+VE</v>
      </c>
      <c r="G52" s="4" t="s">
        <v>51</v>
      </c>
      <c r="H52" s="4">
        <v>30</v>
      </c>
      <c r="I52" s="4" t="s">
        <v>23</v>
      </c>
    </row>
    <row r="53" spans="1:9" s="4" customFormat="1">
      <c r="A53" s="4" t="s">
        <v>68</v>
      </c>
      <c r="B53" s="4" t="s">
        <v>50</v>
      </c>
      <c r="C53" s="4">
        <v>126</v>
      </c>
      <c r="D53" s="4">
        <v>116</v>
      </c>
      <c r="E53" s="4">
        <f>Table7[[#This Row],[Spend_After]]-Table7[[#This Row],[Spend_Before]]</f>
        <v>-10</v>
      </c>
      <c r="F53" s="4" t="str">
        <f>IF(Table7[[#This Row],[Spend_After]]&gt;Table7[[#This Row],[Spend_Before]],"+VE","-VE")</f>
        <v>-VE</v>
      </c>
      <c r="G53" s="4" t="s">
        <v>51</v>
      </c>
      <c r="H53" s="4">
        <v>30</v>
      </c>
      <c r="I53" s="4" t="s">
        <v>23</v>
      </c>
    </row>
    <row r="54" spans="1:9" s="4" customFormat="1">
      <c r="A54" s="4" t="s">
        <v>69</v>
      </c>
      <c r="B54" s="4" t="s">
        <v>50</v>
      </c>
      <c r="C54" s="4">
        <v>239</v>
      </c>
      <c r="D54" s="4">
        <v>248</v>
      </c>
      <c r="E54" s="4">
        <f>Table7[[#This Row],[Spend_After]]-Table7[[#This Row],[Spend_Before]]</f>
        <v>9</v>
      </c>
      <c r="F54" s="4" t="str">
        <f>IF(Table7[[#This Row],[Spend_After]]&gt;Table7[[#This Row],[Spend_Before]],"+VE","-VE")</f>
        <v>+VE</v>
      </c>
      <c r="G54" s="4" t="s">
        <v>51</v>
      </c>
      <c r="H54" s="4">
        <v>30</v>
      </c>
      <c r="I54" s="4" t="s">
        <v>17</v>
      </c>
    </row>
    <row r="55" spans="1:9" s="4" customFormat="1">
      <c r="A55" s="4" t="s">
        <v>70</v>
      </c>
      <c r="B55" s="4" t="s">
        <v>50</v>
      </c>
      <c r="C55" s="4">
        <v>219</v>
      </c>
      <c r="D55" s="4">
        <v>240</v>
      </c>
      <c r="E55" s="4">
        <f>Table7[[#This Row],[Spend_After]]-Table7[[#This Row],[Spend_Before]]</f>
        <v>21</v>
      </c>
      <c r="F55" s="4" t="str">
        <f>IF(Table7[[#This Row],[Spend_After]]&gt;Table7[[#This Row],[Spend_Before]],"+VE","-VE")</f>
        <v>+VE</v>
      </c>
      <c r="G55" s="4" t="s">
        <v>51</v>
      </c>
      <c r="H55" s="4">
        <v>30</v>
      </c>
      <c r="I55" s="4" t="s">
        <v>21</v>
      </c>
    </row>
    <row r="56" spans="1:9" s="4" customFormat="1">
      <c r="A56" s="4" t="s">
        <v>71</v>
      </c>
      <c r="B56" s="4" t="s">
        <v>50</v>
      </c>
      <c r="C56" s="4">
        <v>91</v>
      </c>
      <c r="D56" s="4">
        <v>93</v>
      </c>
      <c r="E56" s="4">
        <f>Table7[[#This Row],[Spend_After]]-Table7[[#This Row],[Spend_Before]]</f>
        <v>2</v>
      </c>
      <c r="F56" s="4" t="str">
        <f>IF(Table7[[#This Row],[Spend_After]]&gt;Table7[[#This Row],[Spend_Before]],"+VE","-VE")</f>
        <v>+VE</v>
      </c>
      <c r="G56" s="4" t="s">
        <v>51</v>
      </c>
      <c r="H56" s="4">
        <v>30</v>
      </c>
      <c r="I56" s="4" t="s">
        <v>21</v>
      </c>
    </row>
    <row r="57" spans="1:9" s="4" customFormat="1">
      <c r="A57" s="4" t="s">
        <v>72</v>
      </c>
      <c r="B57" s="4" t="s">
        <v>50</v>
      </c>
      <c r="C57" s="4">
        <v>134</v>
      </c>
      <c r="D57" s="4">
        <v>148</v>
      </c>
      <c r="E57" s="4">
        <f>Table7[[#This Row],[Spend_After]]-Table7[[#This Row],[Spend_Before]]</f>
        <v>14</v>
      </c>
      <c r="F57" s="4" t="str">
        <f>IF(Table7[[#This Row],[Spend_After]]&gt;Table7[[#This Row],[Spend_Before]],"+VE","-VE")</f>
        <v>+VE</v>
      </c>
      <c r="G57" s="4" t="s">
        <v>51</v>
      </c>
      <c r="H57" s="4">
        <v>30</v>
      </c>
      <c r="I57" s="4" t="s">
        <v>17</v>
      </c>
    </row>
    <row r="58" spans="1:9" s="4" customFormat="1">
      <c r="A58" s="4" t="s">
        <v>73</v>
      </c>
      <c r="B58" s="4" t="s">
        <v>50</v>
      </c>
      <c r="C58" s="4">
        <v>173</v>
      </c>
      <c r="D58" s="4">
        <v>157</v>
      </c>
      <c r="E58" s="4">
        <f>Table7[[#This Row],[Spend_After]]-Table7[[#This Row],[Spend_Before]]</f>
        <v>-16</v>
      </c>
      <c r="F58" s="4" t="str">
        <f>IF(Table7[[#This Row],[Spend_After]]&gt;Table7[[#This Row],[Spend_Before]],"+VE","-VE")</f>
        <v>-VE</v>
      </c>
      <c r="G58" s="4" t="s">
        <v>51</v>
      </c>
      <c r="H58" s="4">
        <v>30</v>
      </c>
      <c r="I58" s="4" t="s">
        <v>17</v>
      </c>
    </row>
    <row r="59" spans="1:9" s="4" customFormat="1">
      <c r="A59" s="4" t="s">
        <v>74</v>
      </c>
      <c r="B59" s="4" t="s">
        <v>50</v>
      </c>
      <c r="C59" s="4">
        <v>181</v>
      </c>
      <c r="D59" s="4">
        <v>174</v>
      </c>
      <c r="E59" s="4">
        <f>Table7[[#This Row],[Spend_After]]-Table7[[#This Row],[Spend_Before]]</f>
        <v>-7</v>
      </c>
      <c r="F59" s="4" t="str">
        <f>IF(Table7[[#This Row],[Spend_After]]&gt;Table7[[#This Row],[Spend_Before]],"+VE","-VE")</f>
        <v>-VE</v>
      </c>
      <c r="G59" s="4" t="s">
        <v>51</v>
      </c>
      <c r="H59" s="4">
        <v>30</v>
      </c>
      <c r="I59" s="4" t="s">
        <v>17</v>
      </c>
    </row>
    <row r="60" spans="1:9" s="4" customFormat="1">
      <c r="A60" s="4" t="s">
        <v>75</v>
      </c>
      <c r="B60" s="4" t="s">
        <v>50</v>
      </c>
      <c r="C60" s="4">
        <v>141</v>
      </c>
      <c r="D60" s="4">
        <v>126</v>
      </c>
      <c r="E60" s="4">
        <f>Table7[[#This Row],[Spend_After]]-Table7[[#This Row],[Spend_Before]]</f>
        <v>-15</v>
      </c>
      <c r="F60" s="4" t="str">
        <f>IF(Table7[[#This Row],[Spend_After]]&gt;Table7[[#This Row],[Spend_Before]],"+VE","-VE")</f>
        <v>-VE</v>
      </c>
      <c r="G60" s="4" t="s">
        <v>51</v>
      </c>
      <c r="H60" s="4">
        <v>30</v>
      </c>
      <c r="I60" s="4" t="s">
        <v>21</v>
      </c>
    </row>
    <row r="61" spans="1:9" s="4" customFormat="1">
      <c r="A61" s="4" t="s">
        <v>76</v>
      </c>
      <c r="B61" s="4" t="s">
        <v>50</v>
      </c>
      <c r="C61" s="4">
        <v>48</v>
      </c>
      <c r="D61" s="4">
        <v>51</v>
      </c>
      <c r="E61" s="4">
        <f>Table7[[#This Row],[Spend_After]]-Table7[[#This Row],[Spend_Before]]</f>
        <v>3</v>
      </c>
      <c r="F61" s="4" t="str">
        <f>IF(Table7[[#This Row],[Spend_After]]&gt;Table7[[#This Row],[Spend_Before]],"+VE","-VE")</f>
        <v>+VE</v>
      </c>
      <c r="G61" s="4" t="s">
        <v>51</v>
      </c>
      <c r="H61" s="4">
        <v>30</v>
      </c>
      <c r="I61" s="4" t="s">
        <v>23</v>
      </c>
    </row>
    <row r="62" spans="1:9" s="4" customFormat="1">
      <c r="A62" s="4" t="s">
        <v>77</v>
      </c>
      <c r="B62" s="4" t="s">
        <v>50</v>
      </c>
      <c r="C62" s="4">
        <v>222</v>
      </c>
      <c r="D62" s="4">
        <v>232</v>
      </c>
      <c r="E62" s="4">
        <f>Table7[[#This Row],[Spend_After]]-Table7[[#This Row],[Spend_Before]]</f>
        <v>10</v>
      </c>
      <c r="F62" s="4" t="str">
        <f>IF(Table7[[#This Row],[Spend_After]]&gt;Table7[[#This Row],[Spend_Before]],"+VE","-VE")</f>
        <v>+VE</v>
      </c>
      <c r="G62" s="4" t="s">
        <v>51</v>
      </c>
      <c r="H62" s="4">
        <v>30</v>
      </c>
      <c r="I62" s="4" t="s">
        <v>17</v>
      </c>
    </row>
    <row r="63" spans="1:9" s="4" customFormat="1">
      <c r="A63" s="4" t="s">
        <v>78</v>
      </c>
      <c r="B63" s="4" t="s">
        <v>50</v>
      </c>
      <c r="C63" s="4">
        <v>56</v>
      </c>
      <c r="D63" s="4">
        <v>60</v>
      </c>
      <c r="E63" s="4">
        <f>Table7[[#This Row],[Spend_After]]-Table7[[#This Row],[Spend_Before]]</f>
        <v>4</v>
      </c>
      <c r="F63" s="4" t="str">
        <f>IF(Table7[[#This Row],[Spend_After]]&gt;Table7[[#This Row],[Spend_Before]],"+VE","-VE")</f>
        <v>+VE</v>
      </c>
      <c r="G63" s="4" t="s">
        <v>51</v>
      </c>
      <c r="H63" s="4">
        <v>30</v>
      </c>
      <c r="I63" s="4" t="s">
        <v>21</v>
      </c>
    </row>
    <row r="64" spans="1:9" s="4" customFormat="1">
      <c r="A64" s="4" t="s">
        <v>79</v>
      </c>
      <c r="B64" s="4" t="s">
        <v>50</v>
      </c>
      <c r="C64" s="4">
        <v>253</v>
      </c>
      <c r="D64" s="4">
        <v>238</v>
      </c>
      <c r="E64" s="4">
        <f>Table7[[#This Row],[Spend_After]]-Table7[[#This Row],[Spend_Before]]</f>
        <v>-15</v>
      </c>
      <c r="F64" s="4" t="str">
        <f>IF(Table7[[#This Row],[Spend_After]]&gt;Table7[[#This Row],[Spend_Before]],"+VE","-VE")</f>
        <v>-VE</v>
      </c>
      <c r="G64" s="4" t="s">
        <v>51</v>
      </c>
      <c r="H64" s="4">
        <v>30</v>
      </c>
      <c r="I64" s="4" t="s">
        <v>21</v>
      </c>
    </row>
    <row r="65" spans="1:9" s="4" customFormat="1">
      <c r="A65" s="4" t="s">
        <v>80</v>
      </c>
      <c r="B65" s="4" t="s">
        <v>50</v>
      </c>
      <c r="C65" s="4">
        <v>259</v>
      </c>
      <c r="D65" s="4">
        <v>275</v>
      </c>
      <c r="E65" s="4">
        <f>Table7[[#This Row],[Spend_After]]-Table7[[#This Row],[Spend_Before]]</f>
        <v>16</v>
      </c>
      <c r="F65" s="4" t="str">
        <f>IF(Table7[[#This Row],[Spend_After]]&gt;Table7[[#This Row],[Spend_Before]],"+VE","-VE")</f>
        <v>+VE</v>
      </c>
      <c r="G65" s="4" t="s">
        <v>51</v>
      </c>
      <c r="H65" s="4">
        <v>30</v>
      </c>
      <c r="I65" s="4" t="s">
        <v>23</v>
      </c>
    </row>
    <row r="67" spans="1:9">
      <c r="A67" t="s">
        <v>81</v>
      </c>
    </row>
    <row r="68" spans="1:9">
      <c r="A68" s="7" t="s">
        <v>82</v>
      </c>
      <c r="B68" s="7" t="s">
        <v>83</v>
      </c>
    </row>
    <row r="69" spans="1:9">
      <c r="A69" t="s">
        <v>7</v>
      </c>
      <c r="B69">
        <f>ROUND(AVERAGE(Table7[Spend_Before]),2)</f>
        <v>148.33000000000001</v>
      </c>
    </row>
    <row r="70" spans="1:9">
      <c r="A70" t="s">
        <v>8</v>
      </c>
      <c r="B70">
        <f>AVERAGE(Table7[Spend_After])</f>
        <v>172</v>
      </c>
    </row>
    <row r="71" spans="1:9">
      <c r="A71" t="s">
        <v>9</v>
      </c>
      <c r="B71">
        <f>ROUND(AVERAGE(Table7[Spend Difference]),2)</f>
        <v>23.67</v>
      </c>
    </row>
    <row r="73" spans="1:9">
      <c r="A73" t="s">
        <v>84</v>
      </c>
    </row>
    <row r="74" spans="1:9">
      <c r="A74" t="s">
        <v>85</v>
      </c>
    </row>
    <row r="75" spans="1:9">
      <c r="A75" t="s">
        <v>86</v>
      </c>
    </row>
    <row r="77" spans="1:9">
      <c r="A77" t="s">
        <v>87</v>
      </c>
    </row>
    <row r="78" spans="1:9">
      <c r="A78">
        <f>ROUND(_xlfn.T.TEST(Table7[Spend_Before],Table7[Spend_After],2,1),9)</f>
        <v>1.0999999999999999E-8</v>
      </c>
    </row>
    <row r="80" spans="1:9">
      <c r="A80" t="s">
        <v>88</v>
      </c>
    </row>
    <row r="82" spans="1:2">
      <c r="A82" t="s">
        <v>89</v>
      </c>
    </row>
    <row r="83" spans="1:2">
      <c r="A83" t="s">
        <v>90</v>
      </c>
    </row>
    <row r="84" spans="1:2">
      <c r="A84" t="s">
        <v>91</v>
      </c>
    </row>
    <row r="86" spans="1:2">
      <c r="A86" t="s">
        <v>92</v>
      </c>
      <c r="B86" t="s">
        <v>93</v>
      </c>
    </row>
    <row r="87" spans="1:2">
      <c r="A87">
        <v>12</v>
      </c>
      <c r="B87">
        <v>-5</v>
      </c>
    </row>
    <row r="88" spans="1:2">
      <c r="A88">
        <v>63</v>
      </c>
      <c r="B88">
        <v>20</v>
      </c>
    </row>
    <row r="89" spans="1:2">
      <c r="A89">
        <v>37</v>
      </c>
      <c r="B89">
        <v>-17</v>
      </c>
    </row>
    <row r="90" spans="1:2">
      <c r="A90">
        <v>28</v>
      </c>
      <c r="B90">
        <v>-16</v>
      </c>
    </row>
    <row r="91" spans="1:2">
      <c r="A91">
        <v>26</v>
      </c>
      <c r="B91">
        <v>-18</v>
      </c>
    </row>
    <row r="92" spans="1:2">
      <c r="A92">
        <v>77</v>
      </c>
      <c r="B92">
        <v>23</v>
      </c>
    </row>
    <row r="93" spans="1:2">
      <c r="A93">
        <v>40</v>
      </c>
      <c r="B93">
        <v>-6</v>
      </c>
    </row>
    <row r="94" spans="1:2">
      <c r="A94">
        <v>29</v>
      </c>
      <c r="B94">
        <v>3</v>
      </c>
    </row>
    <row r="95" spans="1:2">
      <c r="A95">
        <v>72</v>
      </c>
      <c r="B95">
        <v>29</v>
      </c>
    </row>
    <row r="96" spans="1:2">
      <c r="A96">
        <v>46</v>
      </c>
      <c r="B96">
        <v>3</v>
      </c>
    </row>
    <row r="97" spans="1:2">
      <c r="A97">
        <v>69</v>
      </c>
      <c r="B97">
        <v>-13</v>
      </c>
    </row>
    <row r="98" spans="1:2">
      <c r="A98">
        <v>42</v>
      </c>
      <c r="B98">
        <v>6</v>
      </c>
    </row>
    <row r="99" spans="1:2">
      <c r="A99">
        <v>45</v>
      </c>
      <c r="B99">
        <v>5</v>
      </c>
    </row>
    <row r="100" spans="1:2">
      <c r="A100">
        <v>39</v>
      </c>
      <c r="B100">
        <v>8</v>
      </c>
    </row>
    <row r="101" spans="1:2">
      <c r="A101">
        <v>42</v>
      </c>
      <c r="B101">
        <v>26</v>
      </c>
    </row>
    <row r="102" spans="1:2">
      <c r="A102">
        <v>10</v>
      </c>
      <c r="B102">
        <v>-7</v>
      </c>
    </row>
    <row r="103" spans="1:2">
      <c r="A103">
        <v>22</v>
      </c>
      <c r="B103">
        <v>24</v>
      </c>
    </row>
    <row r="104" spans="1:2">
      <c r="A104">
        <v>40</v>
      </c>
      <c r="B104">
        <v>-10</v>
      </c>
    </row>
    <row r="105" spans="1:2">
      <c r="A105">
        <v>67</v>
      </c>
      <c r="B105">
        <v>9</v>
      </c>
    </row>
    <row r="106" spans="1:2">
      <c r="A106">
        <v>18</v>
      </c>
      <c r="B106">
        <v>21</v>
      </c>
    </row>
    <row r="107" spans="1:2">
      <c r="A107">
        <v>71</v>
      </c>
      <c r="B107">
        <v>2</v>
      </c>
    </row>
    <row r="108" spans="1:2">
      <c r="A108">
        <v>13</v>
      </c>
      <c r="B108">
        <v>14</v>
      </c>
    </row>
    <row r="109" spans="1:2">
      <c r="A109">
        <v>72</v>
      </c>
      <c r="B109">
        <v>-16</v>
      </c>
    </row>
    <row r="110" spans="1:2">
      <c r="A110">
        <v>46</v>
      </c>
      <c r="B110">
        <v>-7</v>
      </c>
    </row>
    <row r="111" spans="1:2">
      <c r="A111">
        <v>65</v>
      </c>
      <c r="B111">
        <v>-15</v>
      </c>
    </row>
    <row r="112" spans="1:2">
      <c r="A112">
        <v>18</v>
      </c>
      <c r="B112">
        <v>3</v>
      </c>
    </row>
    <row r="113" spans="1:2">
      <c r="A113">
        <v>61</v>
      </c>
      <c r="B113">
        <v>10</v>
      </c>
    </row>
    <row r="114" spans="1:2">
      <c r="A114">
        <v>48</v>
      </c>
      <c r="B114">
        <v>4</v>
      </c>
    </row>
    <row r="115" spans="1:2">
      <c r="A115">
        <v>75</v>
      </c>
      <c r="B115">
        <v>-15</v>
      </c>
    </row>
    <row r="116" spans="1:2">
      <c r="A116">
        <v>46</v>
      </c>
      <c r="B116">
        <v>16</v>
      </c>
    </row>
    <row r="118" spans="1:2">
      <c r="A118" t="s">
        <v>94</v>
      </c>
    </row>
    <row r="119" spans="1:2">
      <c r="A119" s="8">
        <f>_xlfn.T.TEST(A87:A116,B87:B116,2,3)</f>
        <v>2.7359390149229243E-12</v>
      </c>
    </row>
    <row r="121" spans="1:2">
      <c r="A121" t="s">
        <v>88</v>
      </c>
    </row>
    <row r="123" spans="1:2">
      <c r="A123" t="s">
        <v>95</v>
      </c>
    </row>
    <row r="125" spans="1:2">
      <c r="A125" t="s">
        <v>96</v>
      </c>
    </row>
    <row r="127" spans="1:2" ht="14.4">
      <c r="A127" t="s">
        <v>97</v>
      </c>
    </row>
    <row r="128" spans="1:2">
      <c r="A128" t="s">
        <v>98</v>
      </c>
      <c r="B128" s="9"/>
    </row>
    <row r="130" spans="1:1">
      <c r="A130" t="s">
        <v>99</v>
      </c>
    </row>
    <row r="131" spans="1:1">
      <c r="A131">
        <f>COUNTA(Table7[Spend_After])</f>
        <v>60</v>
      </c>
    </row>
    <row r="133" spans="1:1">
      <c r="A133" t="s">
        <v>100</v>
      </c>
    </row>
    <row r="134" spans="1:1">
      <c r="A134">
        <f>AVERAGE(Table7[Spend_After])</f>
        <v>172</v>
      </c>
    </row>
    <row r="136" spans="1:1">
      <c r="A136" t="s">
        <v>101</v>
      </c>
    </row>
    <row r="137" spans="1:1">
      <c r="A137">
        <f>ROUND(_xlfn.STDEV.S(Table7[Spend_After]),3)</f>
        <v>70.775999999999996</v>
      </c>
    </row>
    <row r="139" spans="1:1">
      <c r="A139" t="s">
        <v>102</v>
      </c>
    </row>
    <row r="140" spans="1:1">
      <c r="A140">
        <f>ROUND(A137/SQRT(A131),3)</f>
        <v>9.1370000000000005</v>
      </c>
    </row>
    <row r="142" spans="1:1">
      <c r="A142" t="s">
        <v>103</v>
      </c>
    </row>
    <row r="143" spans="1:1">
      <c r="A143">
        <f>ROUND((A134-200)/(A140),2)</f>
        <v>-3.06</v>
      </c>
    </row>
    <row r="145" spans="1:1">
      <c r="A145" t="s">
        <v>104</v>
      </c>
    </row>
    <row r="146" spans="1:1">
      <c r="A146">
        <f>COUNT(Table7[Spend_After])-1</f>
        <v>59</v>
      </c>
    </row>
    <row r="148" spans="1:1">
      <c r="A148" t="s">
        <v>105</v>
      </c>
    </row>
    <row r="149" spans="1:1">
      <c r="A149">
        <f>ROUND(_xlfn.T.DIST.2T(ABS(A143),A146),5)</f>
        <v>3.3300000000000001E-3</v>
      </c>
    </row>
    <row r="151" spans="1:1">
      <c r="A151" t="s">
        <v>88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 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Omotoye</dc:creator>
  <cp:lastModifiedBy>David Omotoye</cp:lastModifiedBy>
  <dcterms:created xsi:type="dcterms:W3CDTF">2026-05-11T16:29:13Z</dcterms:created>
  <dcterms:modified xsi:type="dcterms:W3CDTF">2026-05-11T16:29:32Z</dcterms:modified>
</cp:coreProperties>
</file>