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31ac04eec9a4d31/Documents/"/>
    </mc:Choice>
  </mc:AlternateContent>
  <xr:revisionPtr revIDLastSave="0" documentId="8_{BCBBD1D4-9B9F-477B-8140-BA255169A2EC}" xr6:coauthVersionLast="47" xr6:coauthVersionMax="47" xr10:uidLastSave="{00000000-0000-0000-0000-000000000000}"/>
  <bookViews>
    <workbookView xWindow="-108" yWindow="-108" windowWidth="23256" windowHeight="12456" xr2:uid="{F9CED23D-38E6-4BC4-B703-BF9D231F48A1}"/>
  </bookViews>
  <sheets>
    <sheet name="Day 1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2" i="1" l="1"/>
  <c r="F64" i="1" s="1"/>
  <c r="G64" i="1" s="1"/>
  <c r="A69" i="1"/>
  <c r="F9" i="1" l="1"/>
  <c r="G9" i="1" s="1"/>
  <c r="F13" i="1"/>
  <c r="G13" i="1" s="1"/>
  <c r="F15" i="1"/>
  <c r="G15" i="1" s="1"/>
  <c r="F17" i="1"/>
  <c r="G17" i="1" s="1"/>
  <c r="F19" i="1"/>
  <c r="G19" i="1" s="1"/>
  <c r="F21" i="1"/>
  <c r="G21" i="1" s="1"/>
  <c r="F23" i="1"/>
  <c r="G23" i="1" s="1"/>
  <c r="F25" i="1"/>
  <c r="G25" i="1" s="1"/>
  <c r="F27" i="1"/>
  <c r="G27" i="1" s="1"/>
  <c r="F29" i="1"/>
  <c r="G29" i="1" s="1"/>
  <c r="F31" i="1"/>
  <c r="G31" i="1" s="1"/>
  <c r="F33" i="1"/>
  <c r="G33" i="1" s="1"/>
  <c r="F35" i="1"/>
  <c r="G35" i="1" s="1"/>
  <c r="F37" i="1"/>
  <c r="G37" i="1" s="1"/>
  <c r="F39" i="1"/>
  <c r="G39" i="1" s="1"/>
  <c r="F41" i="1"/>
  <c r="G41" i="1" s="1"/>
  <c r="F43" i="1"/>
  <c r="G43" i="1" s="1"/>
  <c r="F45" i="1"/>
  <c r="G45" i="1" s="1"/>
  <c r="F47" i="1"/>
  <c r="G47" i="1" s="1"/>
  <c r="F49" i="1"/>
  <c r="G49" i="1" s="1"/>
  <c r="F51" i="1"/>
  <c r="G51" i="1" s="1"/>
  <c r="F53" i="1"/>
  <c r="G53" i="1" s="1"/>
  <c r="F55" i="1"/>
  <c r="G55" i="1" s="1"/>
  <c r="F57" i="1"/>
  <c r="G57" i="1" s="1"/>
  <c r="F59" i="1"/>
  <c r="G59" i="1" s="1"/>
  <c r="F61" i="1"/>
  <c r="G61" i="1" s="1"/>
  <c r="F63" i="1"/>
  <c r="G63" i="1" s="1"/>
  <c r="F65" i="1"/>
  <c r="G65" i="1" s="1"/>
  <c r="F7" i="1"/>
  <c r="G7" i="1" s="1"/>
  <c r="F11" i="1"/>
  <c r="G11" i="1" s="1"/>
  <c r="F6" i="1"/>
  <c r="G6" i="1" s="1"/>
  <c r="F8" i="1"/>
  <c r="G8" i="1" s="1"/>
  <c r="F10" i="1"/>
  <c r="G10" i="1" s="1"/>
  <c r="F12" i="1"/>
  <c r="G12" i="1" s="1"/>
  <c r="F14" i="1"/>
  <c r="G14" i="1" s="1"/>
  <c r="F16" i="1"/>
  <c r="G16" i="1" s="1"/>
  <c r="F18" i="1"/>
  <c r="G18" i="1" s="1"/>
  <c r="F20" i="1"/>
  <c r="G20" i="1" s="1"/>
  <c r="F22" i="1"/>
  <c r="G22" i="1" s="1"/>
  <c r="F24" i="1"/>
  <c r="G24" i="1" s="1"/>
  <c r="F26" i="1"/>
  <c r="G26" i="1" s="1"/>
  <c r="F28" i="1"/>
  <c r="G28" i="1" s="1"/>
  <c r="F30" i="1"/>
  <c r="G30" i="1" s="1"/>
  <c r="F32" i="1"/>
  <c r="G32" i="1" s="1"/>
  <c r="F34" i="1"/>
  <c r="G34" i="1" s="1"/>
  <c r="F36" i="1"/>
  <c r="G36" i="1" s="1"/>
  <c r="F38" i="1"/>
  <c r="G38" i="1" s="1"/>
  <c r="F40" i="1"/>
  <c r="G40" i="1" s="1"/>
  <c r="F42" i="1"/>
  <c r="G42" i="1" s="1"/>
  <c r="F44" i="1"/>
  <c r="G44" i="1" s="1"/>
  <c r="F46" i="1"/>
  <c r="G46" i="1" s="1"/>
  <c r="F48" i="1"/>
  <c r="G48" i="1" s="1"/>
  <c r="F50" i="1"/>
  <c r="G50" i="1" s="1"/>
  <c r="F52" i="1"/>
  <c r="G52" i="1" s="1"/>
  <c r="F54" i="1"/>
  <c r="G54" i="1" s="1"/>
  <c r="F56" i="1"/>
  <c r="G56" i="1" s="1"/>
  <c r="F58" i="1"/>
  <c r="G58" i="1" s="1"/>
  <c r="F60" i="1"/>
  <c r="G60" i="1" s="1"/>
  <c r="F62" i="1"/>
  <c r="G62" i="1" s="1"/>
</calcChain>
</file>

<file path=xl/sharedStrings.xml><?xml version="1.0" encoding="utf-8"?>
<sst xmlns="http://schemas.openxmlformats.org/spreadsheetml/2006/main" count="199" uniqueCount="84">
  <si>
    <t>DAY 19: Probability Distributions I: Normal Distribution &amp; Z-Scores</t>
  </si>
  <si>
    <t>Objective</t>
  </si>
  <si>
    <t>Standardize values and identify unusual observations using z-scores.</t>
  </si>
  <si>
    <t>Suggested Practice:</t>
  </si>
  <si>
    <t>Attempt the exercises independently before reviewing guided solutions.</t>
  </si>
  <si>
    <t>Applicant_ID</t>
  </si>
  <si>
    <t>Assessment_Score</t>
  </si>
  <si>
    <t>Experience_Years</t>
  </si>
  <si>
    <t>Interview_Score</t>
  </si>
  <si>
    <t>Final_Score</t>
  </si>
  <si>
    <t>Z-Score</t>
  </si>
  <si>
    <t>Interpretation</t>
  </si>
  <si>
    <t>Role_Applied</t>
  </si>
  <si>
    <t>Pass_Status</t>
  </si>
  <si>
    <t>APP-001</t>
  </si>
  <si>
    <t>Account Analyst</t>
  </si>
  <si>
    <t>Review</t>
  </si>
  <si>
    <t>APP-002</t>
  </si>
  <si>
    <t>Data Analyst</t>
  </si>
  <si>
    <t>APP-003</t>
  </si>
  <si>
    <t>Pass</t>
  </si>
  <si>
    <t>APP-004</t>
  </si>
  <si>
    <t>Operations Analyst</t>
  </si>
  <si>
    <t>APP-005</t>
  </si>
  <si>
    <t>APP-006</t>
  </si>
  <si>
    <t>APP-007</t>
  </si>
  <si>
    <t>APP-008</t>
  </si>
  <si>
    <t>APP-009</t>
  </si>
  <si>
    <t>APP-010</t>
  </si>
  <si>
    <t>APP-011</t>
  </si>
  <si>
    <t>APP-012</t>
  </si>
  <si>
    <t>APP-013</t>
  </si>
  <si>
    <t>APP-014</t>
  </si>
  <si>
    <t>APP-015</t>
  </si>
  <si>
    <t>APP-016</t>
  </si>
  <si>
    <t>APP-017</t>
  </si>
  <si>
    <t>APP-018</t>
  </si>
  <si>
    <t>APP-019</t>
  </si>
  <si>
    <t>APP-020</t>
  </si>
  <si>
    <t>APP-021</t>
  </si>
  <si>
    <t>APP-022</t>
  </si>
  <si>
    <t>APP-023</t>
  </si>
  <si>
    <t>APP-024</t>
  </si>
  <si>
    <t>APP-025</t>
  </si>
  <si>
    <t>APP-026</t>
  </si>
  <si>
    <t>APP-027</t>
  </si>
  <si>
    <t>APP-028</t>
  </si>
  <si>
    <t>APP-029</t>
  </si>
  <si>
    <t>APP-030</t>
  </si>
  <si>
    <t>APP-031</t>
  </si>
  <si>
    <t>APP-032</t>
  </si>
  <si>
    <t>APP-033</t>
  </si>
  <si>
    <t>APP-034</t>
  </si>
  <si>
    <t>APP-035</t>
  </si>
  <si>
    <t>APP-036</t>
  </si>
  <si>
    <t>APP-037</t>
  </si>
  <si>
    <t>APP-038</t>
  </si>
  <si>
    <t>APP-039</t>
  </si>
  <si>
    <t>APP-040</t>
  </si>
  <si>
    <t>APP-041</t>
  </si>
  <si>
    <t>APP-042</t>
  </si>
  <si>
    <t>APP-043</t>
  </si>
  <si>
    <t>APP-044</t>
  </si>
  <si>
    <t>APP-045</t>
  </si>
  <si>
    <t>APP-046</t>
  </si>
  <si>
    <t>APP-047</t>
  </si>
  <si>
    <t>APP-048</t>
  </si>
  <si>
    <t>APP-049</t>
  </si>
  <si>
    <t>APP-050</t>
  </si>
  <si>
    <t>APP-051</t>
  </si>
  <si>
    <t>APP-052</t>
  </si>
  <si>
    <t>APP-053</t>
  </si>
  <si>
    <t>APP-054</t>
  </si>
  <si>
    <t>APP-055</t>
  </si>
  <si>
    <t>APP-056</t>
  </si>
  <si>
    <t>APP-057</t>
  </si>
  <si>
    <t>APP-058</t>
  </si>
  <si>
    <t>APP-059</t>
  </si>
  <si>
    <t>APP-060</t>
  </si>
  <si>
    <t>1) Average Final Score</t>
  </si>
  <si>
    <t>2) Standard Deviation</t>
  </si>
  <si>
    <t>3)  Z-Score column created</t>
  </si>
  <si>
    <t>4) Z-Score Computation</t>
  </si>
  <si>
    <t>x-µ/σ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</si>
</sst>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vertical="center" wrapText="1"/>
    </xf>
    <xf numFmtId="0" fontId="3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11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5B9BD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EF2E10-81A0-4AF1-8C91-FCB2E18BB861}" name="Table10" displayName="Table10" ref="A5:I65" totalsRowShown="0" headerRowDxfId="10" dataDxfId="9">
  <autoFilter ref="A5:I65" xr:uid="{2CAF8A3B-5507-4266-9A25-6C57B54D2493}"/>
  <tableColumns count="9">
    <tableColumn id="1" xr3:uid="{428FE00F-23C0-458D-A116-10266199A7C0}" name="Applicant_ID" dataDxfId="8"/>
    <tableColumn id="2" xr3:uid="{D474743F-AADE-4A67-999E-92F505B84726}" name="Assessment_Score" dataDxfId="7"/>
    <tableColumn id="3" xr3:uid="{281563DA-E01B-4AFC-A130-43D5A896A526}" name="Experience_Years" dataDxfId="6"/>
    <tableColumn id="4" xr3:uid="{C3262499-2BCB-44CD-9982-EF523EE6DFB3}" name="Interview_Score" dataDxfId="5"/>
    <tableColumn id="5" xr3:uid="{B9E2F7FF-2C10-4E7E-8AD3-1C136EAC825E}" name="Final_Score" dataDxfId="4"/>
    <tableColumn id="8" xr3:uid="{2FCD830F-A622-4F42-A06D-8090BFC973D1}" name="Z-Score" dataDxfId="3">
      <calculatedColumnFormula>ROUND((Table10[[#This Row],[Final_Score]]-$A$69)/$A$72,3)</calculatedColumnFormula>
    </tableColumn>
    <tableColumn id="9" xr3:uid="{26B81604-8C9C-4311-85C7-4A7C1B0ECA84}" name="Interpretation" dataDxfId="2">
      <calculatedColumnFormula>IF(Table10[[#This Row],[Z-Score]]&gt;=2,"Exceptional",IF(Table10[[#This Row],[Z-Score]]&lt;=-2,"Very Low",IF(AND(Table10[[#This Row],[Z-Score]]&gt;-2,Table10[[#This Row],[Z-Score]]&lt;-1),"Below Average",IF(AND(Table10[[#This Row],[Z-Score]]&gt;=-1,Table10[[#This Row],[Z-Score]]&lt;=1),"Average","Above Average"))))</calculatedColumnFormula>
    </tableColumn>
    <tableColumn id="6" xr3:uid="{E9874E1A-2529-4FC2-B87D-D4DB992FFD7B}" name="Role_Applied" dataDxfId="1"/>
    <tableColumn id="7" xr3:uid="{1CB89B96-3451-4152-B6D3-6755FBC89F5E}" name="Pass_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8190E-B81A-4C9E-8E3C-458E294AC36F}">
  <dimension ref="A1:I77"/>
  <sheetViews>
    <sheetView tabSelected="1" topLeftCell="A54" workbookViewId="0">
      <selection activeCell="D73" sqref="D73"/>
    </sheetView>
  </sheetViews>
  <sheetFormatPr defaultRowHeight="13.8"/>
  <cols>
    <col min="1" max="1" width="18" customWidth="1"/>
    <col min="2" max="2" width="22.09765625" bestFit="1" customWidth="1"/>
    <col min="3" max="3" width="21.19921875" bestFit="1" customWidth="1"/>
    <col min="4" max="9" width="20" customWidth="1"/>
  </cols>
  <sheetData>
    <row r="1" spans="1:9" ht="17.399999999999999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ht="55.2">
      <c r="A2" s="3" t="s">
        <v>1</v>
      </c>
      <c r="B2" s="3" t="s">
        <v>2</v>
      </c>
      <c r="C2" s="4"/>
      <c r="D2" s="4"/>
      <c r="E2" s="4"/>
      <c r="F2" s="4"/>
      <c r="G2" s="4"/>
      <c r="H2" s="4"/>
      <c r="I2" s="4"/>
    </row>
    <row r="3" spans="1:9" ht="55.2">
      <c r="A3" s="3" t="s">
        <v>3</v>
      </c>
      <c r="B3" s="3" t="s">
        <v>4</v>
      </c>
      <c r="C3" s="4"/>
      <c r="D3" s="4"/>
      <c r="E3" s="4"/>
      <c r="F3" s="4"/>
      <c r="G3" s="4"/>
      <c r="H3" s="4"/>
      <c r="I3" s="4"/>
    </row>
    <row r="4" spans="1:9">
      <c r="A4" s="5"/>
      <c r="B4" s="5"/>
      <c r="C4" s="4"/>
      <c r="D4" s="4"/>
      <c r="E4" s="4"/>
      <c r="F4" s="4"/>
      <c r="G4" s="4"/>
      <c r="H4" s="4"/>
      <c r="I4" s="4"/>
    </row>
    <row r="5" spans="1:9">
      <c r="A5" s="6" t="s">
        <v>5</v>
      </c>
      <c r="B5" s="6" t="s">
        <v>6</v>
      </c>
      <c r="C5" s="6" t="s">
        <v>7</v>
      </c>
      <c r="D5" s="6" t="s">
        <v>8</v>
      </c>
      <c r="E5" s="6" t="s">
        <v>9</v>
      </c>
      <c r="F5" s="6" t="s">
        <v>10</v>
      </c>
      <c r="G5" s="6" t="s">
        <v>11</v>
      </c>
      <c r="H5" s="6" t="s">
        <v>12</v>
      </c>
      <c r="I5" s="6" t="s">
        <v>13</v>
      </c>
    </row>
    <row r="6" spans="1:9">
      <c r="A6" s="4" t="s">
        <v>14</v>
      </c>
      <c r="B6" s="4">
        <v>72</v>
      </c>
      <c r="C6" s="4">
        <v>2</v>
      </c>
      <c r="D6" s="4">
        <v>55</v>
      </c>
      <c r="E6" s="4">
        <v>67.599999999999994</v>
      </c>
      <c r="F6" s="4">
        <f>ROUND((Table10[[#This Row],[Final_Score]]-$A$69)/$A$72,3)</f>
        <v>-0.89400000000000002</v>
      </c>
      <c r="G6" s="4" t="str">
        <f>IF(Table10[[#This Row],[Z-Score]]&gt;=2,"Exceptional",IF(Table10[[#This Row],[Z-Score]]&lt;=-2,"Very Low",IF(AND(Table10[[#This Row],[Z-Score]]&gt;-2,Table10[[#This Row],[Z-Score]]&lt;-1),"Below Average",IF(AND(Table10[[#This Row],[Z-Score]]&gt;=-1,Table10[[#This Row],[Z-Score]]&lt;=1),"Average","Above Average"))))</f>
        <v>Average</v>
      </c>
      <c r="H6" s="4" t="s">
        <v>15</v>
      </c>
      <c r="I6" s="4" t="s">
        <v>16</v>
      </c>
    </row>
    <row r="7" spans="1:9">
      <c r="A7" s="4" t="s">
        <v>17</v>
      </c>
      <c r="B7" s="4">
        <v>51.2</v>
      </c>
      <c r="C7" s="4">
        <v>2</v>
      </c>
      <c r="D7" s="4">
        <v>73.400000000000006</v>
      </c>
      <c r="E7" s="4">
        <v>62.5</v>
      </c>
      <c r="F7" s="4">
        <f>ROUND((Table10[[#This Row],[Final_Score]]-$A$69)/$A$72,3)</f>
        <v>-1.4650000000000001</v>
      </c>
      <c r="G7" s="4" t="str">
        <f>IF(Table10[[#This Row],[Z-Score]]&gt;=2,"Exceptional",IF(Table10[[#This Row],[Z-Score]]&lt;=-2,"Very Low",IF(AND(Table10[[#This Row],[Z-Score]]&gt;-2,Table10[[#This Row],[Z-Score]]&lt;-1),"Below Average",IF(AND(Table10[[#This Row],[Z-Score]]&gt;=-1,Table10[[#This Row],[Z-Score]]&lt;=1),"Average","Above Average"))))</f>
        <v>Below Average</v>
      </c>
      <c r="H7" s="4" t="s">
        <v>18</v>
      </c>
      <c r="I7" s="4" t="s">
        <v>16</v>
      </c>
    </row>
    <row r="8" spans="1:9">
      <c r="A8" s="4" t="s">
        <v>19</v>
      </c>
      <c r="B8" s="4">
        <v>87.8</v>
      </c>
      <c r="C8" s="4">
        <v>3</v>
      </c>
      <c r="D8" s="4">
        <v>57.6</v>
      </c>
      <c r="E8" s="4">
        <v>79.3</v>
      </c>
      <c r="F8" s="4">
        <f>ROUND((Table10[[#This Row],[Final_Score]]-$A$69)/$A$72,3)</f>
        <v>0.41699999999999998</v>
      </c>
      <c r="G8" s="4" t="str">
        <f>IF(Table10[[#This Row],[Z-Score]]&gt;=2,"Exceptional",IF(Table10[[#This Row],[Z-Score]]&lt;=-2,"Very Low",IF(AND(Table10[[#This Row],[Z-Score]]&gt;-2,Table10[[#This Row],[Z-Score]]&lt;-1),"Below Average",IF(AND(Table10[[#This Row],[Z-Score]]&gt;=-1,Table10[[#This Row],[Z-Score]]&lt;=1),"Average","Above Average"))))</f>
        <v>Average</v>
      </c>
      <c r="H8" s="4" t="s">
        <v>15</v>
      </c>
      <c r="I8" s="4" t="s">
        <v>20</v>
      </c>
    </row>
    <row r="9" spans="1:9">
      <c r="A9" s="4" t="s">
        <v>21</v>
      </c>
      <c r="B9" s="4">
        <v>80.2</v>
      </c>
      <c r="C9" s="4">
        <v>3</v>
      </c>
      <c r="D9" s="4">
        <v>59.8</v>
      </c>
      <c r="E9" s="4">
        <v>75.599999999999994</v>
      </c>
      <c r="F9" s="4">
        <f>ROUND((Table10[[#This Row],[Final_Score]]-$A$69)/$A$72,3)</f>
        <v>2E-3</v>
      </c>
      <c r="G9" s="4" t="str">
        <f>IF(Table10[[#This Row],[Z-Score]]&gt;=2,"Exceptional",IF(Table10[[#This Row],[Z-Score]]&lt;=-2,"Very Low",IF(AND(Table10[[#This Row],[Z-Score]]&gt;-2,Table10[[#This Row],[Z-Score]]&lt;-1),"Below Average",IF(AND(Table10[[#This Row],[Z-Score]]&gt;=-1,Table10[[#This Row],[Z-Score]]&lt;=1),"Average","Above Average"))))</f>
        <v>Average</v>
      </c>
      <c r="H9" s="4" t="s">
        <v>22</v>
      </c>
      <c r="I9" s="4" t="s">
        <v>20</v>
      </c>
    </row>
    <row r="10" spans="1:9">
      <c r="A10" s="4" t="s">
        <v>23</v>
      </c>
      <c r="B10" s="4">
        <v>71.8</v>
      </c>
      <c r="C10" s="4">
        <v>5</v>
      </c>
      <c r="D10" s="4">
        <v>66.2</v>
      </c>
      <c r="E10" s="4">
        <v>75.599999999999994</v>
      </c>
      <c r="F10" s="4">
        <f>ROUND((Table10[[#This Row],[Final_Score]]-$A$69)/$A$72,3)</f>
        <v>2E-3</v>
      </c>
      <c r="G10" s="4" t="str">
        <f>IF(Table10[[#This Row],[Z-Score]]&gt;=2,"Exceptional",IF(Table10[[#This Row],[Z-Score]]&lt;=-2,"Very Low",IF(AND(Table10[[#This Row],[Z-Score]]&gt;-2,Table10[[#This Row],[Z-Score]]&lt;-1),"Below Average",IF(AND(Table10[[#This Row],[Z-Score]]&gt;=-1,Table10[[#This Row],[Z-Score]]&lt;=1),"Average","Above Average"))))</f>
        <v>Average</v>
      </c>
      <c r="H10" s="4" t="s">
        <v>15</v>
      </c>
      <c r="I10" s="4" t="s">
        <v>20</v>
      </c>
    </row>
    <row r="11" spans="1:9">
      <c r="A11" s="4" t="s">
        <v>24</v>
      </c>
      <c r="B11" s="4">
        <v>70.2</v>
      </c>
      <c r="C11" s="4">
        <v>5</v>
      </c>
      <c r="D11" s="4">
        <v>78.5</v>
      </c>
      <c r="E11" s="4">
        <v>79.5</v>
      </c>
      <c r="F11" s="4">
        <f>ROUND((Table10[[#This Row],[Final_Score]]-$A$69)/$A$72,3)</f>
        <v>0.439</v>
      </c>
      <c r="G11" s="4" t="str">
        <f>IF(Table10[[#This Row],[Z-Score]]&gt;=2,"Exceptional",IF(Table10[[#This Row],[Z-Score]]&lt;=-2,"Very Low",IF(AND(Table10[[#This Row],[Z-Score]]&gt;-2,Table10[[#This Row],[Z-Score]]&lt;-1),"Below Average",IF(AND(Table10[[#This Row],[Z-Score]]&gt;=-1,Table10[[#This Row],[Z-Score]]&lt;=1),"Average","Above Average"))))</f>
        <v>Average</v>
      </c>
      <c r="H11" s="4" t="s">
        <v>22</v>
      </c>
      <c r="I11" s="4" t="s">
        <v>20</v>
      </c>
    </row>
    <row r="12" spans="1:9">
      <c r="A12" s="4" t="s">
        <v>25</v>
      </c>
      <c r="B12" s="4">
        <v>93.9</v>
      </c>
      <c r="C12" s="4">
        <v>7</v>
      </c>
      <c r="D12" s="4">
        <v>83.9</v>
      </c>
      <c r="E12" s="4">
        <v>98.3</v>
      </c>
      <c r="F12" s="4">
        <f>ROUND((Table10[[#This Row],[Final_Score]]-$A$69)/$A$72,3)</f>
        <v>2.544</v>
      </c>
      <c r="G12" s="4" t="str">
        <f>IF(Table10[[#This Row],[Z-Score]]&gt;=2,"Exceptional",IF(Table10[[#This Row],[Z-Score]]&lt;=-2,"Very Low",IF(AND(Table10[[#This Row],[Z-Score]]&gt;-2,Table10[[#This Row],[Z-Score]]&lt;-1),"Below Average",IF(AND(Table10[[#This Row],[Z-Score]]&gt;=-1,Table10[[#This Row],[Z-Score]]&lt;=1),"Average","Above Average"))))</f>
        <v>Exceptional</v>
      </c>
      <c r="H12" s="4" t="s">
        <v>18</v>
      </c>
      <c r="I12" s="4" t="s">
        <v>20</v>
      </c>
    </row>
    <row r="13" spans="1:9">
      <c r="A13" s="4" t="s">
        <v>26</v>
      </c>
      <c r="B13" s="4">
        <v>62.1</v>
      </c>
      <c r="C13" s="4">
        <v>2</v>
      </c>
      <c r="D13" s="4">
        <v>72.099999999999994</v>
      </c>
      <c r="E13" s="4">
        <v>68.5</v>
      </c>
      <c r="F13" s="4">
        <f>ROUND((Table10[[#This Row],[Final_Score]]-$A$69)/$A$72,3)</f>
        <v>-0.79300000000000004</v>
      </c>
      <c r="G13" s="4" t="str">
        <f>IF(Table10[[#This Row],[Z-Score]]&gt;=2,"Exceptional",IF(Table10[[#This Row],[Z-Score]]&lt;=-2,"Very Low",IF(AND(Table10[[#This Row],[Z-Score]]&gt;-2,Table10[[#This Row],[Z-Score]]&lt;-1),"Below Average",IF(AND(Table10[[#This Row],[Z-Score]]&gt;=-1,Table10[[#This Row],[Z-Score]]&lt;=1),"Average","Above Average"))))</f>
        <v>Average</v>
      </c>
      <c r="H13" s="4" t="s">
        <v>15</v>
      </c>
      <c r="I13" s="4" t="s">
        <v>16</v>
      </c>
    </row>
    <row r="14" spans="1:9">
      <c r="A14" s="4" t="s">
        <v>27</v>
      </c>
      <c r="B14" s="4">
        <v>60</v>
      </c>
      <c r="C14" s="4">
        <v>0</v>
      </c>
      <c r="D14" s="4">
        <v>89.9</v>
      </c>
      <c r="E14" s="4">
        <v>72</v>
      </c>
      <c r="F14" s="4">
        <f>ROUND((Table10[[#This Row],[Final_Score]]-$A$69)/$A$72,3)</f>
        <v>-0.40100000000000002</v>
      </c>
      <c r="G14" s="4" t="str">
        <f>IF(Table10[[#This Row],[Z-Score]]&gt;=2,"Exceptional",IF(Table10[[#This Row],[Z-Score]]&lt;=-2,"Very Low",IF(AND(Table10[[#This Row],[Z-Score]]&gt;-2,Table10[[#This Row],[Z-Score]]&lt;-1),"Below Average",IF(AND(Table10[[#This Row],[Z-Score]]&gt;=-1,Table10[[#This Row],[Z-Score]]&lt;=1),"Average","Above Average"))))</f>
        <v>Average</v>
      </c>
      <c r="H14" s="4" t="s">
        <v>22</v>
      </c>
      <c r="I14" s="4" t="s">
        <v>20</v>
      </c>
    </row>
    <row r="15" spans="1:9">
      <c r="A15" s="4" t="s">
        <v>28</v>
      </c>
      <c r="B15" s="4">
        <v>62.6</v>
      </c>
      <c r="C15" s="4">
        <v>5</v>
      </c>
      <c r="D15" s="4">
        <v>42.4</v>
      </c>
      <c r="E15" s="4">
        <v>60.5</v>
      </c>
      <c r="F15" s="4">
        <f>ROUND((Table10[[#This Row],[Final_Score]]-$A$69)/$A$72,3)</f>
        <v>-1.6890000000000001</v>
      </c>
      <c r="G15" s="4" t="str">
        <f>IF(Table10[[#This Row],[Z-Score]]&gt;=2,"Exceptional",IF(Table10[[#This Row],[Z-Score]]&lt;=-2,"Very Low",IF(AND(Table10[[#This Row],[Z-Score]]&gt;-2,Table10[[#This Row],[Z-Score]]&lt;-1),"Below Average",IF(AND(Table10[[#This Row],[Z-Score]]&gt;=-1,Table10[[#This Row],[Z-Score]]&lt;=1),"Average","Above Average"))))</f>
        <v>Below Average</v>
      </c>
      <c r="H15" s="4" t="s">
        <v>22</v>
      </c>
      <c r="I15" s="4" t="s">
        <v>16</v>
      </c>
    </row>
    <row r="16" spans="1:9">
      <c r="A16" s="4" t="s">
        <v>29</v>
      </c>
      <c r="B16" s="4">
        <v>76.099999999999994</v>
      </c>
      <c r="C16" s="4">
        <v>7</v>
      </c>
      <c r="D16" s="4">
        <v>70.3</v>
      </c>
      <c r="E16" s="4">
        <v>82.2</v>
      </c>
      <c r="F16" s="4">
        <f>ROUND((Table10[[#This Row],[Final_Score]]-$A$69)/$A$72,3)</f>
        <v>0.74099999999999999</v>
      </c>
      <c r="G16" s="4" t="str">
        <f>IF(Table10[[#This Row],[Z-Score]]&gt;=2,"Exceptional",IF(Table10[[#This Row],[Z-Score]]&lt;=-2,"Very Low",IF(AND(Table10[[#This Row],[Z-Score]]&gt;-2,Table10[[#This Row],[Z-Score]]&lt;-1),"Below Average",IF(AND(Table10[[#This Row],[Z-Score]]&gt;=-1,Table10[[#This Row],[Z-Score]]&lt;=1),"Average","Above Average"))))</f>
        <v>Average</v>
      </c>
      <c r="H16" s="4" t="s">
        <v>18</v>
      </c>
      <c r="I16" s="4" t="s">
        <v>20</v>
      </c>
    </row>
    <row r="17" spans="1:9">
      <c r="A17" s="4" t="s">
        <v>30</v>
      </c>
      <c r="B17" s="4">
        <v>72.400000000000006</v>
      </c>
      <c r="C17" s="4">
        <v>8</v>
      </c>
      <c r="D17" s="4">
        <v>83.7</v>
      </c>
      <c r="E17" s="4">
        <v>86.5</v>
      </c>
      <c r="F17" s="4">
        <f>ROUND((Table10[[#This Row],[Final_Score]]-$A$69)/$A$72,3)</f>
        <v>1.2230000000000001</v>
      </c>
      <c r="G17" s="4" t="str">
        <f>IF(Table10[[#This Row],[Z-Score]]&gt;=2,"Exceptional",IF(Table10[[#This Row],[Z-Score]]&lt;=-2,"Very Low",IF(AND(Table10[[#This Row],[Z-Score]]&gt;-2,Table10[[#This Row],[Z-Score]]&lt;-1),"Below Average",IF(AND(Table10[[#This Row],[Z-Score]]&gt;=-1,Table10[[#This Row],[Z-Score]]&lt;=1),"Average","Above Average"))))</f>
        <v>Above Average</v>
      </c>
      <c r="H17" s="4" t="s">
        <v>15</v>
      </c>
      <c r="I17" s="4" t="s">
        <v>20</v>
      </c>
    </row>
    <row r="18" spans="1:9">
      <c r="A18" s="4" t="s">
        <v>31</v>
      </c>
      <c r="B18" s="4">
        <v>54.4</v>
      </c>
      <c r="C18" s="4">
        <v>6</v>
      </c>
      <c r="D18" s="4">
        <v>95.6</v>
      </c>
      <c r="E18" s="4">
        <v>78.099999999999994</v>
      </c>
      <c r="F18" s="4">
        <f>ROUND((Table10[[#This Row],[Final_Score]]-$A$69)/$A$72,3)</f>
        <v>0.28199999999999997</v>
      </c>
      <c r="G18" s="4" t="str">
        <f>IF(Table10[[#This Row],[Z-Score]]&gt;=2,"Exceptional",IF(Table10[[#This Row],[Z-Score]]&lt;=-2,"Very Low",IF(AND(Table10[[#This Row],[Z-Score]]&gt;-2,Table10[[#This Row],[Z-Score]]&lt;-1),"Below Average",IF(AND(Table10[[#This Row],[Z-Score]]&gt;=-1,Table10[[#This Row],[Z-Score]]&lt;=1),"Average","Above Average"))))</f>
        <v>Average</v>
      </c>
      <c r="H18" s="4" t="s">
        <v>15</v>
      </c>
      <c r="I18" s="4" t="s">
        <v>20</v>
      </c>
    </row>
    <row r="19" spans="1:9">
      <c r="A19" s="4" t="s">
        <v>32</v>
      </c>
      <c r="B19" s="4">
        <v>88.5</v>
      </c>
      <c r="C19" s="4">
        <v>5</v>
      </c>
      <c r="D19" s="4">
        <v>89</v>
      </c>
      <c r="E19" s="4">
        <v>94.7</v>
      </c>
      <c r="F19" s="4">
        <f>ROUND((Table10[[#This Row],[Final_Score]]-$A$69)/$A$72,3)</f>
        <v>2.141</v>
      </c>
      <c r="G19" s="4" t="str">
        <f>IF(Table10[[#This Row],[Z-Score]]&gt;=2,"Exceptional",IF(Table10[[#This Row],[Z-Score]]&lt;=-2,"Very Low",IF(AND(Table10[[#This Row],[Z-Score]]&gt;-2,Table10[[#This Row],[Z-Score]]&lt;-1),"Below Average",IF(AND(Table10[[#This Row],[Z-Score]]&gt;=-1,Table10[[#This Row],[Z-Score]]&lt;=1),"Average","Above Average"))))</f>
        <v>Exceptional</v>
      </c>
      <c r="H19" s="4" t="s">
        <v>15</v>
      </c>
      <c r="I19" s="4" t="s">
        <v>20</v>
      </c>
    </row>
    <row r="20" spans="1:9">
      <c r="A20" s="4" t="s">
        <v>33</v>
      </c>
      <c r="B20" s="4">
        <v>58.4</v>
      </c>
      <c r="C20" s="4">
        <v>4</v>
      </c>
      <c r="D20" s="4">
        <v>71</v>
      </c>
      <c r="E20" s="4">
        <v>68.2</v>
      </c>
      <c r="F20" s="4">
        <f>ROUND((Table10[[#This Row],[Final_Score]]-$A$69)/$A$72,3)</f>
        <v>-0.82599999999999996</v>
      </c>
      <c r="G20" s="4" t="str">
        <f>IF(Table10[[#This Row],[Z-Score]]&gt;=2,"Exceptional",IF(Table10[[#This Row],[Z-Score]]&lt;=-2,"Very Low",IF(AND(Table10[[#This Row],[Z-Score]]&gt;-2,Table10[[#This Row],[Z-Score]]&lt;-1),"Below Average",IF(AND(Table10[[#This Row],[Z-Score]]&gt;=-1,Table10[[#This Row],[Z-Score]]&lt;=1),"Average","Above Average"))))</f>
        <v>Average</v>
      </c>
      <c r="H20" s="4" t="s">
        <v>22</v>
      </c>
      <c r="I20" s="4" t="s">
        <v>16</v>
      </c>
    </row>
    <row r="21" spans="1:9">
      <c r="A21" s="4" t="s">
        <v>34</v>
      </c>
      <c r="B21" s="4">
        <v>67.099999999999994</v>
      </c>
      <c r="C21" s="4">
        <v>7</v>
      </c>
      <c r="D21" s="4">
        <v>66</v>
      </c>
      <c r="E21" s="4">
        <v>75.099999999999994</v>
      </c>
      <c r="F21" s="4">
        <f>ROUND((Table10[[#This Row],[Final_Score]]-$A$69)/$A$72,3)</f>
        <v>-5.3999999999999999E-2</v>
      </c>
      <c r="G21" s="4" t="str">
        <f>IF(Table10[[#This Row],[Z-Score]]&gt;=2,"Exceptional",IF(Table10[[#This Row],[Z-Score]]&lt;=-2,"Very Low",IF(AND(Table10[[#This Row],[Z-Score]]&gt;-2,Table10[[#This Row],[Z-Score]]&lt;-1),"Below Average",IF(AND(Table10[[#This Row],[Z-Score]]&gt;=-1,Table10[[#This Row],[Z-Score]]&lt;=1),"Average","Above Average"))))</f>
        <v>Average</v>
      </c>
      <c r="H21" s="4" t="s">
        <v>22</v>
      </c>
      <c r="I21" s="4" t="s">
        <v>20</v>
      </c>
    </row>
    <row r="22" spans="1:9">
      <c r="A22" s="4" t="s">
        <v>35</v>
      </c>
      <c r="B22" s="4">
        <v>73.2</v>
      </c>
      <c r="C22" s="4">
        <v>3</v>
      </c>
      <c r="D22" s="4">
        <v>68.3</v>
      </c>
      <c r="E22" s="4">
        <v>74.8</v>
      </c>
      <c r="F22" s="4">
        <f>ROUND((Table10[[#This Row],[Final_Score]]-$A$69)/$A$72,3)</f>
        <v>-8.6999999999999994E-2</v>
      </c>
      <c r="G22" s="4" t="str">
        <f>IF(Table10[[#This Row],[Z-Score]]&gt;=2,"Exceptional",IF(Table10[[#This Row],[Z-Score]]&lt;=-2,"Very Low",IF(AND(Table10[[#This Row],[Z-Score]]&gt;-2,Table10[[#This Row],[Z-Score]]&lt;-1),"Below Average",IF(AND(Table10[[#This Row],[Z-Score]]&gt;=-1,Table10[[#This Row],[Z-Score]]&lt;=1),"Average","Above Average"))))</f>
        <v>Average</v>
      </c>
      <c r="H22" s="4" t="s">
        <v>15</v>
      </c>
      <c r="I22" s="4" t="s">
        <v>20</v>
      </c>
    </row>
    <row r="23" spans="1:9">
      <c r="A23" s="4" t="s">
        <v>36</v>
      </c>
      <c r="B23" s="4">
        <v>69.400000000000006</v>
      </c>
      <c r="C23" s="4">
        <v>5</v>
      </c>
      <c r="D23" s="4">
        <v>66.2</v>
      </c>
      <c r="E23" s="4">
        <v>74.099999999999994</v>
      </c>
      <c r="F23" s="4">
        <f>ROUND((Table10[[#This Row],[Final_Score]]-$A$69)/$A$72,3)</f>
        <v>-0.16600000000000001</v>
      </c>
      <c r="G23" s="4" t="str">
        <f>IF(Table10[[#This Row],[Z-Score]]&gt;=2,"Exceptional",IF(Table10[[#This Row],[Z-Score]]&lt;=-2,"Very Low",IF(AND(Table10[[#This Row],[Z-Score]]&gt;-2,Table10[[#This Row],[Z-Score]]&lt;-1),"Below Average",IF(AND(Table10[[#This Row],[Z-Score]]&gt;=-1,Table10[[#This Row],[Z-Score]]&lt;=1),"Average","Above Average"))))</f>
        <v>Average</v>
      </c>
      <c r="H23" s="4" t="s">
        <v>22</v>
      </c>
      <c r="I23" s="4" t="s">
        <v>20</v>
      </c>
    </row>
    <row r="24" spans="1:9">
      <c r="A24" s="4" t="s">
        <v>37</v>
      </c>
      <c r="B24" s="4">
        <v>62.9</v>
      </c>
      <c r="C24" s="4">
        <v>5</v>
      </c>
      <c r="D24" s="4">
        <v>64.5</v>
      </c>
      <c r="E24" s="4">
        <v>69.5</v>
      </c>
      <c r="F24" s="4">
        <f>ROUND((Table10[[#This Row],[Final_Score]]-$A$69)/$A$72,3)</f>
        <v>-0.68100000000000005</v>
      </c>
      <c r="G24" s="4" t="str">
        <f>IF(Table10[[#This Row],[Z-Score]]&gt;=2,"Exceptional",IF(Table10[[#This Row],[Z-Score]]&lt;=-2,"Very Low",IF(AND(Table10[[#This Row],[Z-Score]]&gt;-2,Table10[[#This Row],[Z-Score]]&lt;-1),"Below Average",IF(AND(Table10[[#This Row],[Z-Score]]&gt;=-1,Table10[[#This Row],[Z-Score]]&lt;=1),"Average","Above Average"))))</f>
        <v>Average</v>
      </c>
      <c r="H24" s="4" t="s">
        <v>22</v>
      </c>
      <c r="I24" s="4" t="s">
        <v>16</v>
      </c>
    </row>
    <row r="25" spans="1:9">
      <c r="A25" s="4" t="s">
        <v>38</v>
      </c>
      <c r="B25" s="4">
        <v>53.4</v>
      </c>
      <c r="C25" s="4">
        <v>8</v>
      </c>
      <c r="D25" s="4">
        <v>74.2</v>
      </c>
      <c r="E25" s="4">
        <v>71.3</v>
      </c>
      <c r="F25" s="4">
        <f>ROUND((Table10[[#This Row],[Final_Score]]-$A$69)/$A$72,3)</f>
        <v>-0.47899999999999998</v>
      </c>
      <c r="G25" s="4" t="str">
        <f>IF(Table10[[#This Row],[Z-Score]]&gt;=2,"Exceptional",IF(Table10[[#This Row],[Z-Score]]&lt;=-2,"Very Low",IF(AND(Table10[[#This Row],[Z-Score]]&gt;-2,Table10[[#This Row],[Z-Score]]&lt;-1),"Below Average",IF(AND(Table10[[#This Row],[Z-Score]]&gt;=-1,Table10[[#This Row],[Z-Score]]&lt;=1),"Average","Above Average"))))</f>
        <v>Average</v>
      </c>
      <c r="H25" s="4" t="s">
        <v>15</v>
      </c>
      <c r="I25" s="4" t="s">
        <v>20</v>
      </c>
    </row>
    <row r="26" spans="1:9">
      <c r="A26" s="4" t="s">
        <v>39</v>
      </c>
      <c r="B26" s="4">
        <v>66.099999999999994</v>
      </c>
      <c r="C26" s="4">
        <v>1</v>
      </c>
      <c r="D26" s="4">
        <v>44.5</v>
      </c>
      <c r="E26" s="4">
        <v>58.7</v>
      </c>
      <c r="F26" s="4">
        <f>ROUND((Table10[[#This Row],[Final_Score]]-$A$69)/$A$72,3)</f>
        <v>-1.89</v>
      </c>
      <c r="G26" s="4" t="str">
        <f>IF(Table10[[#This Row],[Z-Score]]&gt;=2,"Exceptional",IF(Table10[[#This Row],[Z-Score]]&lt;=-2,"Very Low",IF(AND(Table10[[#This Row],[Z-Score]]&gt;-2,Table10[[#This Row],[Z-Score]]&lt;-1),"Below Average",IF(AND(Table10[[#This Row],[Z-Score]]&gt;=-1,Table10[[#This Row],[Z-Score]]&lt;=1),"Average","Above Average"))))</f>
        <v>Below Average</v>
      </c>
      <c r="H26" s="4" t="s">
        <v>15</v>
      </c>
      <c r="I26" s="4" t="s">
        <v>16</v>
      </c>
    </row>
    <row r="27" spans="1:9">
      <c r="A27" s="4" t="s">
        <v>40</v>
      </c>
      <c r="B27" s="4">
        <v>70.5</v>
      </c>
      <c r="C27" s="4">
        <v>1</v>
      </c>
      <c r="D27" s="4">
        <v>90.5</v>
      </c>
      <c r="E27" s="4">
        <v>79.7</v>
      </c>
      <c r="F27" s="4">
        <f>ROUND((Table10[[#This Row],[Final_Score]]-$A$69)/$A$72,3)</f>
        <v>0.46100000000000002</v>
      </c>
      <c r="G27" s="4" t="str">
        <f>IF(Table10[[#This Row],[Z-Score]]&gt;=2,"Exceptional",IF(Table10[[#This Row],[Z-Score]]&lt;=-2,"Very Low",IF(AND(Table10[[#This Row],[Z-Score]]&gt;-2,Table10[[#This Row],[Z-Score]]&lt;-1),"Below Average",IF(AND(Table10[[#This Row],[Z-Score]]&gt;=-1,Table10[[#This Row],[Z-Score]]&lt;=1),"Average","Above Average"))))</f>
        <v>Average</v>
      </c>
      <c r="H27" s="4" t="s">
        <v>18</v>
      </c>
      <c r="I27" s="4" t="s">
        <v>20</v>
      </c>
    </row>
    <row r="28" spans="1:9">
      <c r="A28" s="4" t="s">
        <v>41</v>
      </c>
      <c r="B28" s="4">
        <v>78</v>
      </c>
      <c r="C28" s="4">
        <v>4</v>
      </c>
      <c r="D28" s="4">
        <v>70.8</v>
      </c>
      <c r="E28" s="4">
        <v>79.900000000000006</v>
      </c>
      <c r="F28" s="4">
        <f>ROUND((Table10[[#This Row],[Final_Score]]-$A$69)/$A$72,3)</f>
        <v>0.48399999999999999</v>
      </c>
      <c r="G28" s="4" t="str">
        <f>IF(Table10[[#This Row],[Z-Score]]&gt;=2,"Exceptional",IF(Table10[[#This Row],[Z-Score]]&lt;=-2,"Very Low",IF(AND(Table10[[#This Row],[Z-Score]]&gt;-2,Table10[[#This Row],[Z-Score]]&lt;-1),"Below Average",IF(AND(Table10[[#This Row],[Z-Score]]&gt;=-1,Table10[[#This Row],[Z-Score]]&lt;=1),"Average","Above Average"))))</f>
        <v>Average</v>
      </c>
      <c r="H28" s="4" t="s">
        <v>18</v>
      </c>
      <c r="I28" s="4" t="s">
        <v>20</v>
      </c>
    </row>
    <row r="29" spans="1:9">
      <c r="A29" s="4" t="s">
        <v>42</v>
      </c>
      <c r="B29" s="4">
        <v>88.5</v>
      </c>
      <c r="C29" s="4">
        <v>7</v>
      </c>
      <c r="D29" s="4">
        <v>51</v>
      </c>
      <c r="E29" s="4">
        <v>81.900000000000006</v>
      </c>
      <c r="F29" s="4">
        <f>ROUND((Table10[[#This Row],[Final_Score]]-$A$69)/$A$72,3)</f>
        <v>0.70799999999999996</v>
      </c>
      <c r="G29" s="4" t="str">
        <f>IF(Table10[[#This Row],[Z-Score]]&gt;=2,"Exceptional",IF(Table10[[#This Row],[Z-Score]]&lt;=-2,"Very Low",IF(AND(Table10[[#This Row],[Z-Score]]&gt;-2,Table10[[#This Row],[Z-Score]]&lt;-1),"Below Average",IF(AND(Table10[[#This Row],[Z-Score]]&gt;=-1,Table10[[#This Row],[Z-Score]]&lt;=1),"Average","Above Average"))))</f>
        <v>Average</v>
      </c>
      <c r="H29" s="4" t="s">
        <v>15</v>
      </c>
      <c r="I29" s="4" t="s">
        <v>20</v>
      </c>
    </row>
    <row r="30" spans="1:9">
      <c r="A30" s="4" t="s">
        <v>43</v>
      </c>
      <c r="B30" s="4">
        <v>57.6</v>
      </c>
      <c r="C30" s="4">
        <v>0</v>
      </c>
      <c r="D30" s="4">
        <v>43</v>
      </c>
      <c r="E30" s="4">
        <v>51.8</v>
      </c>
      <c r="F30" s="4">
        <f>ROUND((Table10[[#This Row],[Final_Score]]-$A$69)/$A$72,3)</f>
        <v>-2.6629999999999998</v>
      </c>
      <c r="G30" s="4" t="str">
        <f>IF(Table10[[#This Row],[Z-Score]]&gt;=2,"Exceptional",IF(Table10[[#This Row],[Z-Score]]&lt;=-2,"Very Low",IF(AND(Table10[[#This Row],[Z-Score]]&gt;-2,Table10[[#This Row],[Z-Score]]&lt;-1),"Below Average",IF(AND(Table10[[#This Row],[Z-Score]]&gt;=-1,Table10[[#This Row],[Z-Score]]&lt;=1),"Average","Above Average"))))</f>
        <v>Very Low</v>
      </c>
      <c r="H30" s="4" t="s">
        <v>18</v>
      </c>
      <c r="I30" s="4" t="s">
        <v>16</v>
      </c>
    </row>
    <row r="31" spans="1:9">
      <c r="A31" s="4" t="s">
        <v>44</v>
      </c>
      <c r="B31" s="4">
        <v>76</v>
      </c>
      <c r="C31" s="4">
        <v>7</v>
      </c>
      <c r="D31" s="4">
        <v>73.900000000000006</v>
      </c>
      <c r="E31" s="4">
        <v>83.6</v>
      </c>
      <c r="F31" s="4">
        <f>ROUND((Table10[[#This Row],[Final_Score]]-$A$69)/$A$72,3)</f>
        <v>0.89800000000000002</v>
      </c>
      <c r="G31" s="4" t="str">
        <f>IF(Table10[[#This Row],[Z-Score]]&gt;=2,"Exceptional",IF(Table10[[#This Row],[Z-Score]]&lt;=-2,"Very Low",IF(AND(Table10[[#This Row],[Z-Score]]&gt;-2,Table10[[#This Row],[Z-Score]]&lt;-1),"Below Average",IF(AND(Table10[[#This Row],[Z-Score]]&gt;=-1,Table10[[#This Row],[Z-Score]]&lt;=1),"Average","Above Average"))))</f>
        <v>Average</v>
      </c>
      <c r="H31" s="4" t="s">
        <v>22</v>
      </c>
      <c r="I31" s="4" t="s">
        <v>20</v>
      </c>
    </row>
    <row r="32" spans="1:9">
      <c r="A32" s="4" t="s">
        <v>45</v>
      </c>
      <c r="B32" s="4">
        <v>66.8</v>
      </c>
      <c r="C32" s="4">
        <v>3</v>
      </c>
      <c r="D32" s="4">
        <v>76.2</v>
      </c>
      <c r="E32" s="4">
        <v>74.2</v>
      </c>
      <c r="F32" s="4">
        <f>ROUND((Table10[[#This Row],[Final_Score]]-$A$69)/$A$72,3)</f>
        <v>-0.155</v>
      </c>
      <c r="G32" s="4" t="str">
        <f>IF(Table10[[#This Row],[Z-Score]]&gt;=2,"Exceptional",IF(Table10[[#This Row],[Z-Score]]&lt;=-2,"Very Low",IF(AND(Table10[[#This Row],[Z-Score]]&gt;-2,Table10[[#This Row],[Z-Score]]&lt;-1),"Below Average",IF(AND(Table10[[#This Row],[Z-Score]]&gt;=-1,Table10[[#This Row],[Z-Score]]&lt;=1),"Average","Above Average"))))</f>
        <v>Average</v>
      </c>
      <c r="H32" s="4" t="s">
        <v>22</v>
      </c>
      <c r="I32" s="4" t="s">
        <v>20</v>
      </c>
    </row>
    <row r="33" spans="1:9">
      <c r="A33" s="4" t="s">
        <v>46</v>
      </c>
      <c r="B33" s="4">
        <v>78</v>
      </c>
      <c r="C33" s="4">
        <v>4</v>
      </c>
      <c r="D33" s="4">
        <v>77.400000000000006</v>
      </c>
      <c r="E33" s="4">
        <v>82.6</v>
      </c>
      <c r="F33" s="4">
        <f>ROUND((Table10[[#This Row],[Final_Score]]-$A$69)/$A$72,3)</f>
        <v>0.78600000000000003</v>
      </c>
      <c r="G33" s="4" t="str">
        <f>IF(Table10[[#This Row],[Z-Score]]&gt;=2,"Exceptional",IF(Table10[[#This Row],[Z-Score]]&lt;=-2,"Very Low",IF(AND(Table10[[#This Row],[Z-Score]]&gt;-2,Table10[[#This Row],[Z-Score]]&lt;-1),"Below Average",IF(AND(Table10[[#This Row],[Z-Score]]&gt;=-1,Table10[[#This Row],[Z-Score]]&lt;=1),"Average","Above Average"))))</f>
        <v>Average</v>
      </c>
      <c r="H33" s="4" t="s">
        <v>22</v>
      </c>
      <c r="I33" s="4" t="s">
        <v>20</v>
      </c>
    </row>
    <row r="34" spans="1:9">
      <c r="A34" s="4" t="s">
        <v>47</v>
      </c>
      <c r="B34" s="4">
        <v>75.7</v>
      </c>
      <c r="C34" s="4">
        <v>1</v>
      </c>
      <c r="D34" s="4">
        <v>76</v>
      </c>
      <c r="E34" s="4">
        <v>77</v>
      </c>
      <c r="F34" s="4">
        <f>ROUND((Table10[[#This Row],[Final_Score]]-$A$69)/$A$72,3)</f>
        <v>0.159</v>
      </c>
      <c r="G34" s="4" t="str">
        <f>IF(Table10[[#This Row],[Z-Score]]&gt;=2,"Exceptional",IF(Table10[[#This Row],[Z-Score]]&lt;=-2,"Very Low",IF(AND(Table10[[#This Row],[Z-Score]]&gt;-2,Table10[[#This Row],[Z-Score]]&lt;-1),"Below Average",IF(AND(Table10[[#This Row],[Z-Score]]&gt;=-1,Table10[[#This Row],[Z-Score]]&lt;=1),"Average","Above Average"))))</f>
        <v>Average</v>
      </c>
      <c r="H34" s="4" t="s">
        <v>15</v>
      </c>
      <c r="I34" s="4" t="s">
        <v>20</v>
      </c>
    </row>
    <row r="35" spans="1:9">
      <c r="A35" s="4" t="s">
        <v>48</v>
      </c>
      <c r="B35" s="4">
        <v>46.4</v>
      </c>
      <c r="C35" s="4">
        <v>5</v>
      </c>
      <c r="D35" s="4">
        <v>65.599999999999994</v>
      </c>
      <c r="E35" s="4">
        <v>60.1</v>
      </c>
      <c r="F35" s="4">
        <f>ROUND((Table10[[#This Row],[Final_Score]]-$A$69)/$A$72,3)</f>
        <v>-1.7330000000000001</v>
      </c>
      <c r="G35" s="4" t="str">
        <f>IF(Table10[[#This Row],[Z-Score]]&gt;=2,"Exceptional",IF(Table10[[#This Row],[Z-Score]]&lt;=-2,"Very Low",IF(AND(Table10[[#This Row],[Z-Score]]&gt;-2,Table10[[#This Row],[Z-Score]]&lt;-1),"Below Average",IF(AND(Table10[[#This Row],[Z-Score]]&gt;=-1,Table10[[#This Row],[Z-Score]]&lt;=1),"Average","Above Average"))))</f>
        <v>Below Average</v>
      </c>
      <c r="H35" s="4" t="s">
        <v>15</v>
      </c>
      <c r="I35" s="4" t="s">
        <v>16</v>
      </c>
    </row>
    <row r="36" spans="1:9">
      <c r="A36" s="4" t="s">
        <v>49</v>
      </c>
      <c r="B36" s="4">
        <v>70.599999999999994</v>
      </c>
      <c r="C36" s="4">
        <v>0</v>
      </c>
      <c r="D36" s="4">
        <v>89.3</v>
      </c>
      <c r="E36" s="4">
        <v>78.099999999999994</v>
      </c>
      <c r="F36" s="4">
        <f>ROUND((Table10[[#This Row],[Final_Score]]-$A$69)/$A$72,3)</f>
        <v>0.28199999999999997</v>
      </c>
      <c r="G36" s="4" t="str">
        <f>IF(Table10[[#This Row],[Z-Score]]&gt;=2,"Exceptional",IF(Table10[[#This Row],[Z-Score]]&lt;=-2,"Very Low",IF(AND(Table10[[#This Row],[Z-Score]]&gt;-2,Table10[[#This Row],[Z-Score]]&lt;-1),"Below Average",IF(AND(Table10[[#This Row],[Z-Score]]&gt;=-1,Table10[[#This Row],[Z-Score]]&lt;=1),"Average","Above Average"))))</f>
        <v>Average</v>
      </c>
      <c r="H36" s="4" t="s">
        <v>15</v>
      </c>
      <c r="I36" s="4" t="s">
        <v>20</v>
      </c>
    </row>
    <row r="37" spans="1:9">
      <c r="A37" s="4" t="s">
        <v>50</v>
      </c>
      <c r="B37" s="4">
        <v>84.4</v>
      </c>
      <c r="C37" s="4">
        <v>5</v>
      </c>
      <c r="D37" s="4">
        <v>48</v>
      </c>
      <c r="E37" s="4">
        <v>75.8</v>
      </c>
      <c r="F37" s="4">
        <f>ROUND((Table10[[#This Row],[Final_Score]]-$A$69)/$A$72,3)</f>
        <v>2.5000000000000001E-2</v>
      </c>
      <c r="G37" s="4" t="str">
        <f>IF(Table10[[#This Row],[Z-Score]]&gt;=2,"Exceptional",IF(Table10[[#This Row],[Z-Score]]&lt;=-2,"Very Low",IF(AND(Table10[[#This Row],[Z-Score]]&gt;-2,Table10[[#This Row],[Z-Score]]&lt;-1),"Below Average",IF(AND(Table10[[#This Row],[Z-Score]]&gt;=-1,Table10[[#This Row],[Z-Score]]&lt;=1),"Average","Above Average"))))</f>
        <v>Average</v>
      </c>
      <c r="H37" s="4" t="s">
        <v>18</v>
      </c>
      <c r="I37" s="4" t="s">
        <v>20</v>
      </c>
    </row>
    <row r="38" spans="1:9">
      <c r="A38" s="4" t="s">
        <v>51</v>
      </c>
      <c r="B38" s="4">
        <v>69.599999999999994</v>
      </c>
      <c r="C38" s="4">
        <v>4</v>
      </c>
      <c r="D38" s="4">
        <v>74.2</v>
      </c>
      <c r="E38" s="4">
        <v>76.2</v>
      </c>
      <c r="F38" s="4">
        <f>ROUND((Table10[[#This Row],[Final_Score]]-$A$69)/$A$72,3)</f>
        <v>6.9000000000000006E-2</v>
      </c>
      <c r="G38" s="4" t="str">
        <f>IF(Table10[[#This Row],[Z-Score]]&gt;=2,"Exceptional",IF(Table10[[#This Row],[Z-Score]]&lt;=-2,"Very Low",IF(AND(Table10[[#This Row],[Z-Score]]&gt;-2,Table10[[#This Row],[Z-Score]]&lt;-1),"Below Average",IF(AND(Table10[[#This Row],[Z-Score]]&gt;=-1,Table10[[#This Row],[Z-Score]]&lt;=1),"Average","Above Average"))))</f>
        <v>Average</v>
      </c>
      <c r="H38" s="4" t="s">
        <v>22</v>
      </c>
      <c r="I38" s="4" t="s">
        <v>20</v>
      </c>
    </row>
    <row r="39" spans="1:9">
      <c r="A39" s="4" t="s">
        <v>52</v>
      </c>
      <c r="B39" s="4">
        <v>53.8</v>
      </c>
      <c r="C39" s="4">
        <v>2</v>
      </c>
      <c r="D39" s="4">
        <v>90.8</v>
      </c>
      <c r="E39" s="4">
        <v>71</v>
      </c>
      <c r="F39" s="4">
        <f>ROUND((Table10[[#This Row],[Final_Score]]-$A$69)/$A$72,3)</f>
        <v>-0.51300000000000001</v>
      </c>
      <c r="G39" s="4" t="str">
        <f>IF(Table10[[#This Row],[Z-Score]]&gt;=2,"Exceptional",IF(Table10[[#This Row],[Z-Score]]&lt;=-2,"Very Low",IF(AND(Table10[[#This Row],[Z-Score]]&gt;-2,Table10[[#This Row],[Z-Score]]&lt;-1),"Below Average",IF(AND(Table10[[#This Row],[Z-Score]]&gt;=-1,Table10[[#This Row],[Z-Score]]&lt;=1),"Average","Above Average"))))</f>
        <v>Average</v>
      </c>
      <c r="H39" s="4" t="s">
        <v>15</v>
      </c>
      <c r="I39" s="4" t="s">
        <v>20</v>
      </c>
    </row>
    <row r="40" spans="1:9">
      <c r="A40" s="4" t="s">
        <v>53</v>
      </c>
      <c r="B40" s="4">
        <v>76.900000000000006</v>
      </c>
      <c r="C40" s="4">
        <v>5</v>
      </c>
      <c r="D40" s="4">
        <v>83.8</v>
      </c>
      <c r="E40" s="4">
        <v>85.7</v>
      </c>
      <c r="F40" s="4">
        <f>ROUND((Table10[[#This Row],[Final_Score]]-$A$69)/$A$72,3)</f>
        <v>1.133</v>
      </c>
      <c r="G40" s="4" t="str">
        <f>IF(Table10[[#This Row],[Z-Score]]&gt;=2,"Exceptional",IF(Table10[[#This Row],[Z-Score]]&lt;=-2,"Very Low",IF(AND(Table10[[#This Row],[Z-Score]]&gt;-2,Table10[[#This Row],[Z-Score]]&lt;-1),"Below Average",IF(AND(Table10[[#This Row],[Z-Score]]&gt;=-1,Table10[[#This Row],[Z-Score]]&lt;=1),"Average","Above Average"))))</f>
        <v>Above Average</v>
      </c>
      <c r="H40" s="4" t="s">
        <v>15</v>
      </c>
      <c r="I40" s="4" t="s">
        <v>20</v>
      </c>
    </row>
    <row r="41" spans="1:9">
      <c r="A41" s="4" t="s">
        <v>54</v>
      </c>
      <c r="B41" s="4">
        <v>64.7</v>
      </c>
      <c r="C41" s="4">
        <v>7</v>
      </c>
      <c r="D41" s="4">
        <v>73.3</v>
      </c>
      <c r="E41" s="4">
        <v>76.5</v>
      </c>
      <c r="F41" s="4">
        <f>ROUND((Table10[[#This Row],[Final_Score]]-$A$69)/$A$72,3)</f>
        <v>0.10299999999999999</v>
      </c>
      <c r="G41" s="4" t="str">
        <f>IF(Table10[[#This Row],[Z-Score]]&gt;=2,"Exceptional",IF(Table10[[#This Row],[Z-Score]]&lt;=-2,"Very Low",IF(AND(Table10[[#This Row],[Z-Score]]&gt;-2,Table10[[#This Row],[Z-Score]]&lt;-1),"Below Average",IF(AND(Table10[[#This Row],[Z-Score]]&gt;=-1,Table10[[#This Row],[Z-Score]]&lt;=1),"Average","Above Average"))))</f>
        <v>Average</v>
      </c>
      <c r="H41" s="4" t="s">
        <v>22</v>
      </c>
      <c r="I41" s="4" t="s">
        <v>20</v>
      </c>
    </row>
    <row r="42" spans="1:9">
      <c r="A42" s="4" t="s">
        <v>55</v>
      </c>
      <c r="B42" s="4">
        <v>67.900000000000006</v>
      </c>
      <c r="C42" s="4">
        <v>4</v>
      </c>
      <c r="D42" s="4">
        <v>60.6</v>
      </c>
      <c r="E42" s="4">
        <v>69.8</v>
      </c>
      <c r="F42" s="4">
        <f>ROUND((Table10[[#This Row],[Final_Score]]-$A$69)/$A$72,3)</f>
        <v>-0.64700000000000002</v>
      </c>
      <c r="G42" s="4" t="str">
        <f>IF(Table10[[#This Row],[Z-Score]]&gt;=2,"Exceptional",IF(Table10[[#This Row],[Z-Score]]&lt;=-2,"Very Low",IF(AND(Table10[[#This Row],[Z-Score]]&gt;-2,Table10[[#This Row],[Z-Score]]&lt;-1),"Below Average",IF(AND(Table10[[#This Row],[Z-Score]]&gt;=-1,Table10[[#This Row],[Z-Score]]&lt;=1),"Average","Above Average"))))</f>
        <v>Average</v>
      </c>
      <c r="H42" s="4" t="s">
        <v>22</v>
      </c>
      <c r="I42" s="4" t="s">
        <v>16</v>
      </c>
    </row>
    <row r="43" spans="1:9">
      <c r="A43" s="4" t="s">
        <v>56</v>
      </c>
      <c r="B43" s="4">
        <v>66.599999999999994</v>
      </c>
      <c r="C43" s="4">
        <v>3</v>
      </c>
      <c r="D43" s="4">
        <v>61.9</v>
      </c>
      <c r="E43" s="4">
        <v>68.3</v>
      </c>
      <c r="F43" s="4">
        <f>ROUND((Table10[[#This Row],[Final_Score]]-$A$69)/$A$72,3)</f>
        <v>-0.81499999999999995</v>
      </c>
      <c r="G43" s="4" t="str">
        <f>IF(Table10[[#This Row],[Z-Score]]&gt;=2,"Exceptional",IF(Table10[[#This Row],[Z-Score]]&lt;=-2,"Very Low",IF(AND(Table10[[#This Row],[Z-Score]]&gt;-2,Table10[[#This Row],[Z-Score]]&lt;-1),"Below Average",IF(AND(Table10[[#This Row],[Z-Score]]&gt;=-1,Table10[[#This Row],[Z-Score]]&lt;=1),"Average","Above Average"))))</f>
        <v>Average</v>
      </c>
      <c r="H43" s="4" t="s">
        <v>15</v>
      </c>
      <c r="I43" s="4" t="s">
        <v>16</v>
      </c>
    </row>
    <row r="44" spans="1:9">
      <c r="A44" s="4" t="s">
        <v>57</v>
      </c>
      <c r="B44" s="4">
        <v>70.599999999999994</v>
      </c>
      <c r="C44" s="4">
        <v>5</v>
      </c>
      <c r="D44" s="4">
        <v>74.5</v>
      </c>
      <c r="E44" s="4">
        <v>78.2</v>
      </c>
      <c r="F44" s="4">
        <f>ROUND((Table10[[#This Row],[Final_Score]]-$A$69)/$A$72,3)</f>
        <v>0.29299999999999998</v>
      </c>
      <c r="G44" s="4" t="str">
        <f>IF(Table10[[#This Row],[Z-Score]]&gt;=2,"Exceptional",IF(Table10[[#This Row],[Z-Score]]&lt;=-2,"Very Low",IF(AND(Table10[[#This Row],[Z-Score]]&gt;-2,Table10[[#This Row],[Z-Score]]&lt;-1),"Below Average",IF(AND(Table10[[#This Row],[Z-Score]]&gt;=-1,Table10[[#This Row],[Z-Score]]&lt;=1),"Average","Above Average"))))</f>
        <v>Average</v>
      </c>
      <c r="H44" s="4" t="s">
        <v>15</v>
      </c>
      <c r="I44" s="4" t="s">
        <v>20</v>
      </c>
    </row>
    <row r="45" spans="1:9">
      <c r="A45" s="4" t="s">
        <v>58</v>
      </c>
      <c r="B45" s="4">
        <v>89.3</v>
      </c>
      <c r="C45" s="4">
        <v>3</v>
      </c>
      <c r="D45" s="4">
        <v>66.5</v>
      </c>
      <c r="E45" s="4">
        <v>83.8</v>
      </c>
      <c r="F45" s="4">
        <f>ROUND((Table10[[#This Row],[Final_Score]]-$A$69)/$A$72,3)</f>
        <v>0.92</v>
      </c>
      <c r="G45" s="4" t="str">
        <f>IF(Table10[[#This Row],[Z-Score]]&gt;=2,"Exceptional",IF(Table10[[#This Row],[Z-Score]]&lt;=-2,"Very Low",IF(AND(Table10[[#This Row],[Z-Score]]&gt;-2,Table10[[#This Row],[Z-Score]]&lt;-1),"Below Average",IF(AND(Table10[[#This Row],[Z-Score]]&gt;=-1,Table10[[#This Row],[Z-Score]]&lt;=1),"Average","Above Average"))))</f>
        <v>Average</v>
      </c>
      <c r="H45" s="4" t="s">
        <v>18</v>
      </c>
      <c r="I45" s="4" t="s">
        <v>20</v>
      </c>
    </row>
    <row r="46" spans="1:9">
      <c r="A46" s="4" t="s">
        <v>59</v>
      </c>
      <c r="B46" s="4">
        <v>80.8</v>
      </c>
      <c r="C46" s="4">
        <v>6</v>
      </c>
      <c r="D46" s="4">
        <v>90.4</v>
      </c>
      <c r="E46" s="4">
        <v>91.8</v>
      </c>
      <c r="F46" s="4">
        <f>ROUND((Table10[[#This Row],[Final_Score]]-$A$69)/$A$72,3)</f>
        <v>1.8160000000000001</v>
      </c>
      <c r="G46" s="4" t="str">
        <f>IF(Table10[[#This Row],[Z-Score]]&gt;=2,"Exceptional",IF(Table10[[#This Row],[Z-Score]]&lt;=-2,"Very Low",IF(AND(Table10[[#This Row],[Z-Score]]&gt;-2,Table10[[#This Row],[Z-Score]]&lt;-1),"Below Average",IF(AND(Table10[[#This Row],[Z-Score]]&gt;=-1,Table10[[#This Row],[Z-Score]]&lt;=1),"Average","Above Average"))))</f>
        <v>Above Average</v>
      </c>
      <c r="H46" s="4" t="s">
        <v>15</v>
      </c>
      <c r="I46" s="4" t="s">
        <v>20</v>
      </c>
    </row>
    <row r="47" spans="1:9">
      <c r="A47" s="4" t="s">
        <v>60</v>
      </c>
      <c r="B47" s="4">
        <v>70</v>
      </c>
      <c r="C47" s="4">
        <v>0</v>
      </c>
      <c r="D47" s="4">
        <v>72.099999999999994</v>
      </c>
      <c r="E47" s="4">
        <v>70.8</v>
      </c>
      <c r="F47" s="4">
        <f>ROUND((Table10[[#This Row],[Final_Score]]-$A$69)/$A$72,3)</f>
        <v>-0.53500000000000003</v>
      </c>
      <c r="G47" s="4" t="str">
        <f>IF(Table10[[#This Row],[Z-Score]]&gt;=2,"Exceptional",IF(Table10[[#This Row],[Z-Score]]&lt;=-2,"Very Low",IF(AND(Table10[[#This Row],[Z-Score]]&gt;-2,Table10[[#This Row],[Z-Score]]&lt;-1),"Below Average",IF(AND(Table10[[#This Row],[Z-Score]]&gt;=-1,Table10[[#This Row],[Z-Score]]&lt;=1),"Average","Above Average"))))</f>
        <v>Average</v>
      </c>
      <c r="H47" s="4" t="s">
        <v>18</v>
      </c>
      <c r="I47" s="4" t="s">
        <v>20</v>
      </c>
    </row>
    <row r="48" spans="1:9">
      <c r="A48" s="4" t="s">
        <v>61</v>
      </c>
      <c r="B48" s="4">
        <v>86.1</v>
      </c>
      <c r="C48" s="4">
        <v>7</v>
      </c>
      <c r="D48" s="4">
        <v>76.099999999999994</v>
      </c>
      <c r="E48" s="4">
        <v>90.5</v>
      </c>
      <c r="F48" s="4">
        <f>ROUND((Table10[[#This Row],[Final_Score]]-$A$69)/$A$72,3)</f>
        <v>1.671</v>
      </c>
      <c r="G48" s="4" t="str">
        <f>IF(Table10[[#This Row],[Z-Score]]&gt;=2,"Exceptional",IF(Table10[[#This Row],[Z-Score]]&lt;=-2,"Very Low",IF(AND(Table10[[#This Row],[Z-Score]]&gt;-2,Table10[[#This Row],[Z-Score]]&lt;-1),"Below Average",IF(AND(Table10[[#This Row],[Z-Score]]&gt;=-1,Table10[[#This Row],[Z-Score]]&lt;=1),"Average","Above Average"))))</f>
        <v>Above Average</v>
      </c>
      <c r="H48" s="4" t="s">
        <v>18</v>
      </c>
      <c r="I48" s="4" t="s">
        <v>20</v>
      </c>
    </row>
    <row r="49" spans="1:9">
      <c r="A49" s="4" t="s">
        <v>62</v>
      </c>
      <c r="B49" s="4">
        <v>58.8</v>
      </c>
      <c r="C49" s="4">
        <v>7</v>
      </c>
      <c r="D49" s="4">
        <v>88</v>
      </c>
      <c r="E49" s="4">
        <v>78.900000000000006</v>
      </c>
      <c r="F49" s="4">
        <f>ROUND((Table10[[#This Row],[Final_Score]]-$A$69)/$A$72,3)</f>
        <v>0.372</v>
      </c>
      <c r="G49" s="4" t="str">
        <f>IF(Table10[[#This Row],[Z-Score]]&gt;=2,"Exceptional",IF(Table10[[#This Row],[Z-Score]]&lt;=-2,"Very Low",IF(AND(Table10[[#This Row],[Z-Score]]&gt;-2,Table10[[#This Row],[Z-Score]]&lt;-1),"Below Average",IF(AND(Table10[[#This Row],[Z-Score]]&gt;=-1,Table10[[#This Row],[Z-Score]]&lt;=1),"Average","Above Average"))))</f>
        <v>Average</v>
      </c>
      <c r="H49" s="4" t="s">
        <v>15</v>
      </c>
      <c r="I49" s="4" t="s">
        <v>20</v>
      </c>
    </row>
    <row r="50" spans="1:9">
      <c r="A50" s="4" t="s">
        <v>63</v>
      </c>
      <c r="B50" s="4">
        <v>82.8</v>
      </c>
      <c r="C50" s="4">
        <v>2</v>
      </c>
      <c r="D50" s="4">
        <v>62.2</v>
      </c>
      <c r="E50" s="4">
        <v>77</v>
      </c>
      <c r="F50" s="4">
        <f>ROUND((Table10[[#This Row],[Final_Score]]-$A$69)/$A$72,3)</f>
        <v>0.159</v>
      </c>
      <c r="G50" s="4" t="str">
        <f>IF(Table10[[#This Row],[Z-Score]]&gt;=2,"Exceptional",IF(Table10[[#This Row],[Z-Score]]&lt;=-2,"Very Low",IF(AND(Table10[[#This Row],[Z-Score]]&gt;-2,Table10[[#This Row],[Z-Score]]&lt;-1),"Below Average",IF(AND(Table10[[#This Row],[Z-Score]]&gt;=-1,Table10[[#This Row],[Z-Score]]&lt;=1),"Average","Above Average"))))</f>
        <v>Average</v>
      </c>
      <c r="H50" s="4" t="s">
        <v>18</v>
      </c>
      <c r="I50" s="4" t="s">
        <v>20</v>
      </c>
    </row>
    <row r="51" spans="1:9">
      <c r="A51" s="4" t="s">
        <v>64</v>
      </c>
      <c r="B51" s="4">
        <v>72.599999999999994</v>
      </c>
      <c r="C51" s="4">
        <v>6</v>
      </c>
      <c r="D51" s="4">
        <v>64.900000000000006</v>
      </c>
      <c r="E51" s="4">
        <v>76.7</v>
      </c>
      <c r="F51" s="4">
        <f>ROUND((Table10[[#This Row],[Final_Score]]-$A$69)/$A$72,3)</f>
        <v>0.125</v>
      </c>
      <c r="G51" s="4" t="str">
        <f>IF(Table10[[#This Row],[Z-Score]]&gt;=2,"Exceptional",IF(Table10[[#This Row],[Z-Score]]&lt;=-2,"Very Low",IF(AND(Table10[[#This Row],[Z-Score]]&gt;-2,Table10[[#This Row],[Z-Score]]&lt;-1),"Below Average",IF(AND(Table10[[#This Row],[Z-Score]]&gt;=-1,Table10[[#This Row],[Z-Score]]&lt;=1),"Average","Above Average"))))</f>
        <v>Average</v>
      </c>
      <c r="H51" s="4" t="s">
        <v>18</v>
      </c>
      <c r="I51" s="4" t="s">
        <v>20</v>
      </c>
    </row>
    <row r="52" spans="1:9">
      <c r="A52" s="4" t="s">
        <v>65</v>
      </c>
      <c r="B52" s="4">
        <v>50.5</v>
      </c>
      <c r="C52" s="4">
        <v>3</v>
      </c>
      <c r="D52" s="4">
        <v>69.900000000000006</v>
      </c>
      <c r="E52" s="4">
        <v>61.9</v>
      </c>
      <c r="F52" s="4">
        <f>ROUND((Table10[[#This Row],[Final_Score]]-$A$69)/$A$72,3)</f>
        <v>-1.532</v>
      </c>
      <c r="G52" s="4" t="str">
        <f>IF(Table10[[#This Row],[Z-Score]]&gt;=2,"Exceptional",IF(Table10[[#This Row],[Z-Score]]&lt;=-2,"Very Low",IF(AND(Table10[[#This Row],[Z-Score]]&gt;-2,Table10[[#This Row],[Z-Score]]&lt;-1),"Below Average",IF(AND(Table10[[#This Row],[Z-Score]]&gt;=-1,Table10[[#This Row],[Z-Score]]&lt;=1),"Average","Above Average"))))</f>
        <v>Below Average</v>
      </c>
      <c r="H52" s="4" t="s">
        <v>15</v>
      </c>
      <c r="I52" s="4" t="s">
        <v>16</v>
      </c>
    </row>
    <row r="53" spans="1:9">
      <c r="A53" s="4" t="s">
        <v>66</v>
      </c>
      <c r="B53" s="4">
        <v>52.2</v>
      </c>
      <c r="C53" s="4">
        <v>1</v>
      </c>
      <c r="D53" s="4">
        <v>75.099999999999994</v>
      </c>
      <c r="E53" s="4">
        <v>62.6</v>
      </c>
      <c r="F53" s="4">
        <f>ROUND((Table10[[#This Row],[Final_Score]]-$A$69)/$A$72,3)</f>
        <v>-1.454</v>
      </c>
      <c r="G53" s="4" t="str">
        <f>IF(Table10[[#This Row],[Z-Score]]&gt;=2,"Exceptional",IF(Table10[[#This Row],[Z-Score]]&lt;=-2,"Very Low",IF(AND(Table10[[#This Row],[Z-Score]]&gt;-2,Table10[[#This Row],[Z-Score]]&lt;-1),"Below Average",IF(AND(Table10[[#This Row],[Z-Score]]&gt;=-1,Table10[[#This Row],[Z-Score]]&lt;=1),"Average","Above Average"))))</f>
        <v>Below Average</v>
      </c>
      <c r="H53" s="4" t="s">
        <v>15</v>
      </c>
      <c r="I53" s="4" t="s">
        <v>16</v>
      </c>
    </row>
    <row r="54" spans="1:9">
      <c r="A54" s="4" t="s">
        <v>67</v>
      </c>
      <c r="B54" s="4">
        <v>91.9</v>
      </c>
      <c r="C54" s="4">
        <v>3</v>
      </c>
      <c r="D54" s="4">
        <v>59.6</v>
      </c>
      <c r="E54" s="4">
        <v>82.6</v>
      </c>
      <c r="F54" s="4">
        <f>ROUND((Table10[[#This Row],[Final_Score]]-$A$69)/$A$72,3)</f>
        <v>0.78600000000000003</v>
      </c>
      <c r="G54" s="4" t="str">
        <f>IF(Table10[[#This Row],[Z-Score]]&gt;=2,"Exceptional",IF(Table10[[#This Row],[Z-Score]]&lt;=-2,"Very Low",IF(AND(Table10[[#This Row],[Z-Score]]&gt;-2,Table10[[#This Row],[Z-Score]]&lt;-1),"Below Average",IF(AND(Table10[[#This Row],[Z-Score]]&gt;=-1,Table10[[#This Row],[Z-Score]]&lt;=1),"Average","Above Average"))))</f>
        <v>Average</v>
      </c>
      <c r="H54" s="4" t="s">
        <v>18</v>
      </c>
      <c r="I54" s="4" t="s">
        <v>20</v>
      </c>
    </row>
    <row r="55" spans="1:9">
      <c r="A55" s="4" t="s">
        <v>68</v>
      </c>
      <c r="B55" s="4">
        <v>57.4</v>
      </c>
      <c r="C55" s="4">
        <v>7</v>
      </c>
      <c r="D55" s="4">
        <v>56.8</v>
      </c>
      <c r="E55" s="4">
        <v>65.599999999999994</v>
      </c>
      <c r="F55" s="4">
        <f>ROUND((Table10[[#This Row],[Final_Score]]-$A$69)/$A$72,3)</f>
        <v>-1.1180000000000001</v>
      </c>
      <c r="G55" s="4" t="str">
        <f>IF(Table10[[#This Row],[Z-Score]]&gt;=2,"Exceptional",IF(Table10[[#This Row],[Z-Score]]&lt;=-2,"Very Low",IF(AND(Table10[[#This Row],[Z-Score]]&gt;-2,Table10[[#This Row],[Z-Score]]&lt;-1),"Below Average",IF(AND(Table10[[#This Row],[Z-Score]]&gt;=-1,Table10[[#This Row],[Z-Score]]&lt;=1),"Average","Above Average"))))</f>
        <v>Below Average</v>
      </c>
      <c r="H55" s="4" t="s">
        <v>15</v>
      </c>
      <c r="I55" s="4" t="s">
        <v>16</v>
      </c>
    </row>
    <row r="56" spans="1:9">
      <c r="A56" s="4" t="s">
        <v>69</v>
      </c>
      <c r="B56" s="4">
        <v>66.400000000000006</v>
      </c>
      <c r="C56" s="4">
        <v>6</v>
      </c>
      <c r="D56" s="4">
        <v>79.400000000000006</v>
      </c>
      <c r="E56" s="4">
        <v>78.8</v>
      </c>
      <c r="F56" s="4">
        <f>ROUND((Table10[[#This Row],[Final_Score]]-$A$69)/$A$72,3)</f>
        <v>0.36099999999999999</v>
      </c>
      <c r="G56" s="4" t="str">
        <f>IF(Table10[[#This Row],[Z-Score]]&gt;=2,"Exceptional",IF(Table10[[#This Row],[Z-Score]]&lt;=-2,"Very Low",IF(AND(Table10[[#This Row],[Z-Score]]&gt;-2,Table10[[#This Row],[Z-Score]]&lt;-1),"Below Average",IF(AND(Table10[[#This Row],[Z-Score]]&gt;=-1,Table10[[#This Row],[Z-Score]]&lt;=1),"Average","Above Average"))))</f>
        <v>Average</v>
      </c>
      <c r="H56" s="4" t="s">
        <v>18</v>
      </c>
      <c r="I56" s="4" t="s">
        <v>20</v>
      </c>
    </row>
    <row r="57" spans="1:9">
      <c r="A57" s="4" t="s">
        <v>70</v>
      </c>
      <c r="B57" s="4">
        <v>68.400000000000006</v>
      </c>
      <c r="C57" s="4">
        <v>3</v>
      </c>
      <c r="D57" s="4">
        <v>67.400000000000006</v>
      </c>
      <c r="E57" s="4">
        <v>71.599999999999994</v>
      </c>
      <c r="F57" s="4">
        <f>ROUND((Table10[[#This Row],[Final_Score]]-$A$69)/$A$72,3)</f>
        <v>-0.44600000000000001</v>
      </c>
      <c r="G57" s="4" t="str">
        <f>IF(Table10[[#This Row],[Z-Score]]&gt;=2,"Exceptional",IF(Table10[[#This Row],[Z-Score]]&lt;=-2,"Very Low",IF(AND(Table10[[#This Row],[Z-Score]]&gt;-2,Table10[[#This Row],[Z-Score]]&lt;-1),"Below Average",IF(AND(Table10[[#This Row],[Z-Score]]&gt;=-1,Table10[[#This Row],[Z-Score]]&lt;=1),"Average","Above Average"))))</f>
        <v>Average</v>
      </c>
      <c r="H57" s="4" t="s">
        <v>22</v>
      </c>
      <c r="I57" s="4" t="s">
        <v>20</v>
      </c>
    </row>
    <row r="58" spans="1:9">
      <c r="A58" s="4" t="s">
        <v>71</v>
      </c>
      <c r="B58" s="4">
        <v>64.5</v>
      </c>
      <c r="C58" s="4">
        <v>5</v>
      </c>
      <c r="D58" s="4">
        <v>80</v>
      </c>
      <c r="E58" s="4">
        <v>76.7</v>
      </c>
      <c r="F58" s="4">
        <f>ROUND((Table10[[#This Row],[Final_Score]]-$A$69)/$A$72,3)</f>
        <v>0.125</v>
      </c>
      <c r="G58" s="4" t="str">
        <f>IF(Table10[[#This Row],[Z-Score]]&gt;=2,"Exceptional",IF(Table10[[#This Row],[Z-Score]]&lt;=-2,"Very Low",IF(AND(Table10[[#This Row],[Z-Score]]&gt;-2,Table10[[#This Row],[Z-Score]]&lt;-1),"Below Average",IF(AND(Table10[[#This Row],[Z-Score]]&gt;=-1,Table10[[#This Row],[Z-Score]]&lt;=1),"Average","Above Average"))))</f>
        <v>Average</v>
      </c>
      <c r="H58" s="4" t="s">
        <v>15</v>
      </c>
      <c r="I58" s="4" t="s">
        <v>20</v>
      </c>
    </row>
    <row r="59" spans="1:9">
      <c r="A59" s="4" t="s">
        <v>72</v>
      </c>
      <c r="B59" s="4">
        <v>77.8</v>
      </c>
      <c r="C59" s="4">
        <v>6</v>
      </c>
      <c r="D59" s="4">
        <v>48.4</v>
      </c>
      <c r="E59" s="4">
        <v>73.2</v>
      </c>
      <c r="F59" s="4">
        <f>ROUND((Table10[[#This Row],[Final_Score]]-$A$69)/$A$72,3)</f>
        <v>-0.26700000000000002</v>
      </c>
      <c r="G59" s="4" t="str">
        <f>IF(Table10[[#This Row],[Z-Score]]&gt;=2,"Exceptional",IF(Table10[[#This Row],[Z-Score]]&lt;=-2,"Very Low",IF(AND(Table10[[#This Row],[Z-Score]]&gt;-2,Table10[[#This Row],[Z-Score]]&lt;-1),"Below Average",IF(AND(Table10[[#This Row],[Z-Score]]&gt;=-1,Table10[[#This Row],[Z-Score]]&lt;=1),"Average","Above Average"))))</f>
        <v>Average</v>
      </c>
      <c r="H59" s="4" t="s">
        <v>18</v>
      </c>
      <c r="I59" s="4" t="s">
        <v>20</v>
      </c>
    </row>
    <row r="60" spans="1:9">
      <c r="A60" s="4" t="s">
        <v>73</v>
      </c>
      <c r="B60" s="4">
        <v>59.9</v>
      </c>
      <c r="C60" s="4">
        <v>0</v>
      </c>
      <c r="D60" s="4">
        <v>71.099999999999994</v>
      </c>
      <c r="E60" s="4">
        <v>64.400000000000006</v>
      </c>
      <c r="F60" s="4">
        <f>ROUND((Table10[[#This Row],[Final_Score]]-$A$69)/$A$72,3)</f>
        <v>-1.252</v>
      </c>
      <c r="G60" s="4" t="str">
        <f>IF(Table10[[#This Row],[Z-Score]]&gt;=2,"Exceptional",IF(Table10[[#This Row],[Z-Score]]&lt;=-2,"Very Low",IF(AND(Table10[[#This Row],[Z-Score]]&gt;-2,Table10[[#This Row],[Z-Score]]&lt;-1),"Below Average",IF(AND(Table10[[#This Row],[Z-Score]]&gt;=-1,Table10[[#This Row],[Z-Score]]&lt;=1),"Average","Above Average"))))</f>
        <v>Below Average</v>
      </c>
      <c r="H60" s="4" t="s">
        <v>18</v>
      </c>
      <c r="I60" s="4" t="s">
        <v>16</v>
      </c>
    </row>
    <row r="61" spans="1:9">
      <c r="A61" s="4" t="s">
        <v>74</v>
      </c>
      <c r="B61" s="4">
        <v>82</v>
      </c>
      <c r="C61" s="4">
        <v>4</v>
      </c>
      <c r="D61" s="4">
        <v>62.9</v>
      </c>
      <c r="E61" s="4">
        <v>79.2</v>
      </c>
      <c r="F61" s="4">
        <f>ROUND((Table10[[#This Row],[Final_Score]]-$A$69)/$A$72,3)</f>
        <v>0.40500000000000003</v>
      </c>
      <c r="G61" s="4" t="str">
        <f>IF(Table10[[#This Row],[Z-Score]]&gt;=2,"Exceptional",IF(Table10[[#This Row],[Z-Score]]&lt;=-2,"Very Low",IF(AND(Table10[[#This Row],[Z-Score]]&gt;-2,Table10[[#This Row],[Z-Score]]&lt;-1),"Below Average",IF(AND(Table10[[#This Row],[Z-Score]]&gt;=-1,Table10[[#This Row],[Z-Score]]&lt;=1),"Average","Above Average"))))</f>
        <v>Average</v>
      </c>
      <c r="H61" s="4" t="s">
        <v>22</v>
      </c>
      <c r="I61" s="4" t="s">
        <v>20</v>
      </c>
    </row>
    <row r="62" spans="1:9">
      <c r="A62" s="4" t="s">
        <v>75</v>
      </c>
      <c r="B62" s="4">
        <v>68.3</v>
      </c>
      <c r="C62" s="4">
        <v>1</v>
      </c>
      <c r="D62" s="4">
        <v>90.6</v>
      </c>
      <c r="E62" s="4">
        <v>78.400000000000006</v>
      </c>
      <c r="F62" s="4">
        <f>ROUND((Table10[[#This Row],[Final_Score]]-$A$69)/$A$72,3)</f>
        <v>0.316</v>
      </c>
      <c r="G62" s="4" t="str">
        <f>IF(Table10[[#This Row],[Z-Score]]&gt;=2,"Exceptional",IF(Table10[[#This Row],[Z-Score]]&lt;=-2,"Very Low",IF(AND(Table10[[#This Row],[Z-Score]]&gt;-2,Table10[[#This Row],[Z-Score]]&lt;-1),"Below Average",IF(AND(Table10[[#This Row],[Z-Score]]&gt;=-1,Table10[[#This Row],[Z-Score]]&lt;=1),"Average","Above Average"))))</f>
        <v>Average</v>
      </c>
      <c r="H62" s="4" t="s">
        <v>18</v>
      </c>
      <c r="I62" s="4" t="s">
        <v>20</v>
      </c>
    </row>
    <row r="63" spans="1:9">
      <c r="A63" s="4" t="s">
        <v>76</v>
      </c>
      <c r="B63" s="4">
        <v>72.599999999999994</v>
      </c>
      <c r="C63" s="4">
        <v>5</v>
      </c>
      <c r="D63" s="4">
        <v>67.7</v>
      </c>
      <c r="E63" s="4">
        <v>76.599999999999994</v>
      </c>
      <c r="F63" s="4">
        <f>ROUND((Table10[[#This Row],[Final_Score]]-$A$69)/$A$72,3)</f>
        <v>0.114</v>
      </c>
      <c r="G63" s="4" t="str">
        <f>IF(Table10[[#This Row],[Z-Score]]&gt;=2,"Exceptional",IF(Table10[[#This Row],[Z-Score]]&lt;=-2,"Very Low",IF(AND(Table10[[#This Row],[Z-Score]]&gt;-2,Table10[[#This Row],[Z-Score]]&lt;-1),"Below Average",IF(AND(Table10[[#This Row],[Z-Score]]&gt;=-1,Table10[[#This Row],[Z-Score]]&lt;=1),"Average","Above Average"))))</f>
        <v>Average</v>
      </c>
      <c r="H63" s="4" t="s">
        <v>15</v>
      </c>
      <c r="I63" s="4" t="s">
        <v>20</v>
      </c>
    </row>
    <row r="64" spans="1:9">
      <c r="A64" s="4" t="s">
        <v>77</v>
      </c>
      <c r="B64" s="4">
        <v>82.1</v>
      </c>
      <c r="C64" s="4">
        <v>5</v>
      </c>
      <c r="D64" s="4">
        <v>81.099999999999994</v>
      </c>
      <c r="E64" s="4">
        <v>87.7</v>
      </c>
      <c r="F64" s="4">
        <f>ROUND((Table10[[#This Row],[Final_Score]]-$A$69)/$A$72,3)</f>
        <v>1.357</v>
      </c>
      <c r="G64" s="4" t="str">
        <f>IF(Table10[[#This Row],[Z-Score]]&gt;=2,"Exceptional",IF(Table10[[#This Row],[Z-Score]]&lt;=-2,"Very Low",IF(AND(Table10[[#This Row],[Z-Score]]&gt;-2,Table10[[#This Row],[Z-Score]]&lt;-1),"Below Average",IF(AND(Table10[[#This Row],[Z-Score]]&gt;=-1,Table10[[#This Row],[Z-Score]]&lt;=1),"Average","Above Average"))))</f>
        <v>Above Average</v>
      </c>
      <c r="H64" s="4" t="s">
        <v>15</v>
      </c>
      <c r="I64" s="4" t="s">
        <v>20</v>
      </c>
    </row>
    <row r="65" spans="1:9">
      <c r="A65" s="4" t="s">
        <v>78</v>
      </c>
      <c r="B65" s="4">
        <v>65</v>
      </c>
      <c r="C65" s="4">
        <v>7</v>
      </c>
      <c r="D65" s="4">
        <v>88.6</v>
      </c>
      <c r="E65" s="4">
        <v>82.8</v>
      </c>
      <c r="F65" s="4">
        <f>ROUND((Table10[[#This Row],[Final_Score]]-$A$69)/$A$72,3)</f>
        <v>0.80900000000000005</v>
      </c>
      <c r="G65" s="4" t="str">
        <f>IF(Table10[[#This Row],[Z-Score]]&gt;=2,"Exceptional",IF(Table10[[#This Row],[Z-Score]]&lt;=-2,"Very Low",IF(AND(Table10[[#This Row],[Z-Score]]&gt;-2,Table10[[#This Row],[Z-Score]]&lt;-1),"Below Average",IF(AND(Table10[[#This Row],[Z-Score]]&gt;=-1,Table10[[#This Row],[Z-Score]]&lt;=1),"Average","Above Average"))))</f>
        <v>Average</v>
      </c>
      <c r="H65" s="4" t="s">
        <v>22</v>
      </c>
      <c r="I65" s="4" t="s">
        <v>20</v>
      </c>
    </row>
    <row r="68" spans="1:9">
      <c r="A68" t="s">
        <v>79</v>
      </c>
    </row>
    <row r="69" spans="1:9">
      <c r="A69">
        <f>ROUND(AVERAGE(Table10[Final_Score]),2)</f>
        <v>75.58</v>
      </c>
    </row>
    <row r="71" spans="1:9">
      <c r="A71" t="s">
        <v>80</v>
      </c>
    </row>
    <row r="72" spans="1:9">
      <c r="A72">
        <f>ROUND(_xlfn.STDEV.S(Table10[Final_Score]),2)</f>
        <v>8.93</v>
      </c>
    </row>
    <row r="74" spans="1:9">
      <c r="A74" t="s">
        <v>81</v>
      </c>
    </row>
    <row r="76" spans="1:9">
      <c r="A76" t="s">
        <v>82</v>
      </c>
    </row>
    <row r="77" spans="1:9">
      <c r="A77" t="s">
        <v>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Omotoye</dc:creator>
  <cp:lastModifiedBy>David Omotoye</cp:lastModifiedBy>
  <dcterms:created xsi:type="dcterms:W3CDTF">2026-05-14T15:40:43Z</dcterms:created>
  <dcterms:modified xsi:type="dcterms:W3CDTF">2026-05-14T15:41:43Z</dcterms:modified>
</cp:coreProperties>
</file>