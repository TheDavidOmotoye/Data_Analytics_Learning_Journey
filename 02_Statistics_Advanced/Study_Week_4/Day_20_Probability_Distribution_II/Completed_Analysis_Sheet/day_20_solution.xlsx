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31ac04eec9a4d31/Documents/"/>
    </mc:Choice>
  </mc:AlternateContent>
  <xr:revisionPtr revIDLastSave="0" documentId="8_{4485413D-502F-4F6C-9C22-E9B31C203F3D}" xr6:coauthVersionLast="47" xr6:coauthVersionMax="47" xr10:uidLastSave="{00000000-0000-0000-0000-000000000000}"/>
  <bookViews>
    <workbookView xWindow="-108" yWindow="-108" windowWidth="23256" windowHeight="12456" xr2:uid="{94A37C08-3A32-4095-8686-BD237CF25244}"/>
  </bookViews>
  <sheets>
    <sheet name="Day 2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0" i="1" l="1"/>
  <c r="B69" i="1"/>
  <c r="B68" i="1"/>
  <c r="B67" i="1"/>
  <c r="B66" i="1"/>
  <c r="B59" i="1"/>
  <c r="B56" i="1"/>
  <c r="A62" i="1" s="1"/>
  <c r="B55" i="1"/>
  <c r="J49" i="1" s="1"/>
  <c r="K49" i="1" s="1"/>
  <c r="B54" i="1"/>
  <c r="R50" i="1"/>
  <c r="Q50" i="1"/>
  <c r="P50" i="1"/>
  <c r="M50" i="1"/>
  <c r="L50" i="1"/>
  <c r="I50" i="1"/>
  <c r="H50" i="1"/>
  <c r="R49" i="1"/>
  <c r="Q49" i="1"/>
  <c r="P49" i="1"/>
  <c r="S49" i="1" s="1"/>
  <c r="T49" i="1" s="1"/>
  <c r="L49" i="1"/>
  <c r="M49" i="1" s="1"/>
  <c r="H49" i="1"/>
  <c r="I49" i="1" s="1"/>
  <c r="S48" i="1"/>
  <c r="R48" i="1"/>
  <c r="Q48" i="1"/>
  <c r="P48" i="1"/>
  <c r="L48" i="1"/>
  <c r="M48" i="1" s="1"/>
  <c r="K48" i="1"/>
  <c r="J48" i="1"/>
  <c r="H48" i="1"/>
  <c r="I48" i="1" s="1"/>
  <c r="R47" i="1"/>
  <c r="Q47" i="1"/>
  <c r="P47" i="1"/>
  <c r="N47" i="1"/>
  <c r="O47" i="1" s="1"/>
  <c r="M47" i="1"/>
  <c r="L47" i="1"/>
  <c r="J47" i="1"/>
  <c r="K47" i="1" s="1"/>
  <c r="I47" i="1"/>
  <c r="H47" i="1"/>
  <c r="R46" i="1"/>
  <c r="Q46" i="1"/>
  <c r="P46" i="1"/>
  <c r="S46" i="1" s="1"/>
  <c r="T46" i="1" s="1"/>
  <c r="M46" i="1"/>
  <c r="L46" i="1"/>
  <c r="J46" i="1"/>
  <c r="K46" i="1" s="1"/>
  <c r="I46" i="1"/>
  <c r="H46" i="1"/>
  <c r="T45" i="1"/>
  <c r="R45" i="1"/>
  <c r="Q45" i="1"/>
  <c r="P45" i="1"/>
  <c r="S45" i="1" s="1"/>
  <c r="L45" i="1"/>
  <c r="M45" i="1" s="1"/>
  <c r="K45" i="1"/>
  <c r="J45" i="1"/>
  <c r="H45" i="1"/>
  <c r="I45" i="1" s="1"/>
  <c r="S44" i="1"/>
  <c r="R44" i="1"/>
  <c r="Q44" i="1"/>
  <c r="P44" i="1"/>
  <c r="L44" i="1"/>
  <c r="M44" i="1" s="1"/>
  <c r="K44" i="1"/>
  <c r="J44" i="1"/>
  <c r="H44" i="1"/>
  <c r="I44" i="1" s="1"/>
  <c r="R43" i="1"/>
  <c r="Q43" i="1"/>
  <c r="S43" i="1" s="1"/>
  <c r="P43" i="1"/>
  <c r="N43" i="1"/>
  <c r="O43" i="1" s="1"/>
  <c r="M43" i="1"/>
  <c r="L43" i="1"/>
  <c r="J43" i="1"/>
  <c r="K43" i="1" s="1"/>
  <c r="I43" i="1"/>
  <c r="H43" i="1"/>
  <c r="R42" i="1"/>
  <c r="Q42" i="1"/>
  <c r="P42" i="1"/>
  <c r="S42" i="1" s="1"/>
  <c r="T42" i="1" s="1"/>
  <c r="M42" i="1"/>
  <c r="L42" i="1"/>
  <c r="J42" i="1"/>
  <c r="K42" i="1" s="1"/>
  <c r="I42" i="1"/>
  <c r="H42" i="1"/>
  <c r="T41" i="1"/>
  <c r="R41" i="1"/>
  <c r="Q41" i="1"/>
  <c r="P41" i="1"/>
  <c r="S41" i="1" s="1"/>
  <c r="L41" i="1"/>
  <c r="M41" i="1" s="1"/>
  <c r="K41" i="1"/>
  <c r="J41" i="1"/>
  <c r="H41" i="1"/>
  <c r="I41" i="1" s="1"/>
  <c r="S40" i="1"/>
  <c r="R40" i="1"/>
  <c r="Q40" i="1"/>
  <c r="P40" i="1"/>
  <c r="L40" i="1"/>
  <c r="M40" i="1" s="1"/>
  <c r="K40" i="1"/>
  <c r="J40" i="1"/>
  <c r="H40" i="1"/>
  <c r="I40" i="1" s="1"/>
  <c r="R39" i="1"/>
  <c r="Q39" i="1"/>
  <c r="S39" i="1" s="1"/>
  <c r="P39" i="1"/>
  <c r="N39" i="1"/>
  <c r="O39" i="1" s="1"/>
  <c r="M39" i="1"/>
  <c r="L39" i="1"/>
  <c r="J39" i="1"/>
  <c r="K39" i="1" s="1"/>
  <c r="I39" i="1"/>
  <c r="H39" i="1"/>
  <c r="R38" i="1"/>
  <c r="Q38" i="1"/>
  <c r="P38" i="1"/>
  <c r="M38" i="1"/>
  <c r="L38" i="1"/>
  <c r="J38" i="1"/>
  <c r="K38" i="1" s="1"/>
  <c r="I38" i="1"/>
  <c r="H38" i="1"/>
  <c r="T37" i="1"/>
  <c r="R37" i="1"/>
  <c r="Q37" i="1"/>
  <c r="P37" i="1"/>
  <c r="S37" i="1" s="1"/>
  <c r="L37" i="1"/>
  <c r="M37" i="1" s="1"/>
  <c r="K37" i="1"/>
  <c r="J37" i="1"/>
  <c r="H37" i="1"/>
  <c r="I37" i="1" s="1"/>
  <c r="S36" i="1"/>
  <c r="R36" i="1"/>
  <c r="Q36" i="1"/>
  <c r="P36" i="1"/>
  <c r="L36" i="1"/>
  <c r="M36" i="1" s="1"/>
  <c r="K36" i="1"/>
  <c r="J36" i="1"/>
  <c r="H36" i="1"/>
  <c r="I36" i="1" s="1"/>
  <c r="R35" i="1"/>
  <c r="Q35" i="1"/>
  <c r="S35" i="1" s="1"/>
  <c r="P35" i="1"/>
  <c r="N35" i="1"/>
  <c r="O35" i="1" s="1"/>
  <c r="M35" i="1"/>
  <c r="L35" i="1"/>
  <c r="J35" i="1"/>
  <c r="K35" i="1" s="1"/>
  <c r="I35" i="1"/>
  <c r="H35" i="1"/>
  <c r="R34" i="1"/>
  <c r="Q34" i="1"/>
  <c r="P34" i="1"/>
  <c r="M34" i="1"/>
  <c r="L34" i="1"/>
  <c r="J34" i="1"/>
  <c r="K34" i="1" s="1"/>
  <c r="I34" i="1"/>
  <c r="H34" i="1"/>
  <c r="T33" i="1"/>
  <c r="R33" i="1"/>
  <c r="Q33" i="1"/>
  <c r="P33" i="1"/>
  <c r="S33" i="1" s="1"/>
  <c r="L33" i="1"/>
  <c r="M33" i="1" s="1"/>
  <c r="K33" i="1"/>
  <c r="J33" i="1"/>
  <c r="H33" i="1"/>
  <c r="I33" i="1" s="1"/>
  <c r="S32" i="1"/>
  <c r="R32" i="1"/>
  <c r="Q32" i="1"/>
  <c r="P32" i="1"/>
  <c r="L32" i="1"/>
  <c r="M32" i="1" s="1"/>
  <c r="K32" i="1"/>
  <c r="J32" i="1"/>
  <c r="H32" i="1"/>
  <c r="I32" i="1" s="1"/>
  <c r="R31" i="1"/>
  <c r="Q31" i="1"/>
  <c r="S31" i="1" s="1"/>
  <c r="P31" i="1"/>
  <c r="N31" i="1"/>
  <c r="O31" i="1" s="1"/>
  <c r="M31" i="1"/>
  <c r="L31" i="1"/>
  <c r="J31" i="1"/>
  <c r="K31" i="1" s="1"/>
  <c r="I31" i="1"/>
  <c r="H31" i="1"/>
  <c r="R30" i="1"/>
  <c r="Q30" i="1"/>
  <c r="P30" i="1"/>
  <c r="M30" i="1"/>
  <c r="L30" i="1"/>
  <c r="J30" i="1"/>
  <c r="K30" i="1" s="1"/>
  <c r="I30" i="1"/>
  <c r="H30" i="1"/>
  <c r="T29" i="1"/>
  <c r="R29" i="1"/>
  <c r="Q29" i="1"/>
  <c r="P29" i="1"/>
  <c r="S29" i="1" s="1"/>
  <c r="L29" i="1"/>
  <c r="M29" i="1" s="1"/>
  <c r="K29" i="1"/>
  <c r="J29" i="1"/>
  <c r="H29" i="1"/>
  <c r="I29" i="1" s="1"/>
  <c r="S28" i="1"/>
  <c r="R28" i="1"/>
  <c r="Q28" i="1"/>
  <c r="P28" i="1"/>
  <c r="L28" i="1"/>
  <c r="M28" i="1" s="1"/>
  <c r="K28" i="1"/>
  <c r="J28" i="1"/>
  <c r="H28" i="1"/>
  <c r="I28" i="1" s="1"/>
  <c r="R27" i="1"/>
  <c r="Q27" i="1"/>
  <c r="S27" i="1" s="1"/>
  <c r="P27" i="1"/>
  <c r="N27" i="1"/>
  <c r="O27" i="1" s="1"/>
  <c r="M27" i="1"/>
  <c r="L27" i="1"/>
  <c r="J27" i="1"/>
  <c r="K27" i="1" s="1"/>
  <c r="I27" i="1"/>
  <c r="H27" i="1"/>
  <c r="R26" i="1"/>
  <c r="Q26" i="1"/>
  <c r="P26" i="1"/>
  <c r="M26" i="1"/>
  <c r="L26" i="1"/>
  <c r="J26" i="1"/>
  <c r="K26" i="1" s="1"/>
  <c r="I26" i="1"/>
  <c r="H26" i="1"/>
  <c r="T25" i="1"/>
  <c r="R25" i="1"/>
  <c r="Q25" i="1"/>
  <c r="P25" i="1"/>
  <c r="S25" i="1" s="1"/>
  <c r="L25" i="1"/>
  <c r="M25" i="1" s="1"/>
  <c r="K25" i="1"/>
  <c r="J25" i="1"/>
  <c r="H25" i="1"/>
  <c r="I25" i="1" s="1"/>
  <c r="S24" i="1"/>
  <c r="R24" i="1"/>
  <c r="Q24" i="1"/>
  <c r="P24" i="1"/>
  <c r="L24" i="1"/>
  <c r="M24" i="1" s="1"/>
  <c r="K24" i="1"/>
  <c r="J24" i="1"/>
  <c r="H24" i="1"/>
  <c r="I24" i="1" s="1"/>
  <c r="R23" i="1"/>
  <c r="Q23" i="1"/>
  <c r="S23" i="1" s="1"/>
  <c r="P23" i="1"/>
  <c r="N23" i="1"/>
  <c r="O23" i="1" s="1"/>
  <c r="M23" i="1"/>
  <c r="L23" i="1"/>
  <c r="J23" i="1"/>
  <c r="K23" i="1" s="1"/>
  <c r="I23" i="1"/>
  <c r="H23" i="1"/>
  <c r="R22" i="1"/>
  <c r="Q22" i="1"/>
  <c r="P22" i="1"/>
  <c r="M22" i="1"/>
  <c r="L22" i="1"/>
  <c r="J22" i="1"/>
  <c r="K22" i="1" s="1"/>
  <c r="H22" i="1"/>
  <c r="I22" i="1" s="1"/>
  <c r="R21" i="1"/>
  <c r="Q21" i="1"/>
  <c r="P21" i="1"/>
  <c r="S21" i="1" s="1"/>
  <c r="L21" i="1"/>
  <c r="M21" i="1" s="1"/>
  <c r="K21" i="1"/>
  <c r="J21" i="1"/>
  <c r="H21" i="1"/>
  <c r="I21" i="1" s="1"/>
  <c r="R20" i="1"/>
  <c r="S20" i="1" s="1"/>
  <c r="Q20" i="1"/>
  <c r="P20" i="1"/>
  <c r="N20" i="1"/>
  <c r="O20" i="1" s="1"/>
  <c r="L20" i="1"/>
  <c r="M20" i="1" s="1"/>
  <c r="J20" i="1"/>
  <c r="K20" i="1" s="1"/>
  <c r="H20" i="1"/>
  <c r="I20" i="1" s="1"/>
  <c r="R19" i="1"/>
  <c r="Q19" i="1"/>
  <c r="S19" i="1" s="1"/>
  <c r="T19" i="1" s="1"/>
  <c r="P19" i="1"/>
  <c r="N19" i="1"/>
  <c r="O19" i="1" s="1"/>
  <c r="M19" i="1"/>
  <c r="L19" i="1"/>
  <c r="J19" i="1"/>
  <c r="K19" i="1" s="1"/>
  <c r="I19" i="1"/>
  <c r="H19" i="1"/>
  <c r="R18" i="1"/>
  <c r="Q18" i="1"/>
  <c r="P18" i="1"/>
  <c r="S18" i="1" s="1"/>
  <c r="T18" i="1" s="1"/>
  <c r="N18" i="1"/>
  <c r="O18" i="1" s="1"/>
  <c r="L18" i="1"/>
  <c r="M18" i="1" s="1"/>
  <c r="J18" i="1"/>
  <c r="K18" i="1" s="1"/>
  <c r="I18" i="1"/>
  <c r="H18" i="1"/>
  <c r="R17" i="1"/>
  <c r="Q17" i="1"/>
  <c r="P17" i="1"/>
  <c r="S17" i="1" s="1"/>
  <c r="L17" i="1"/>
  <c r="M17" i="1" s="1"/>
  <c r="K17" i="1"/>
  <c r="J17" i="1"/>
  <c r="H17" i="1"/>
  <c r="I17" i="1" s="1"/>
  <c r="R16" i="1"/>
  <c r="Q16" i="1"/>
  <c r="P16" i="1"/>
  <c r="S16" i="1" s="1"/>
  <c r="N16" i="1"/>
  <c r="O16" i="1" s="1"/>
  <c r="L16" i="1"/>
  <c r="M16" i="1" s="1"/>
  <c r="K16" i="1"/>
  <c r="J16" i="1"/>
  <c r="H16" i="1"/>
  <c r="I16" i="1" s="1"/>
  <c r="R15" i="1"/>
  <c r="Q15" i="1"/>
  <c r="S15" i="1" s="1"/>
  <c r="P15" i="1"/>
  <c r="N15" i="1"/>
  <c r="O15" i="1" s="1"/>
  <c r="M15" i="1"/>
  <c r="L15" i="1"/>
  <c r="J15" i="1"/>
  <c r="K15" i="1" s="1"/>
  <c r="I15" i="1"/>
  <c r="H15" i="1"/>
  <c r="T14" i="1"/>
  <c r="R14" i="1"/>
  <c r="Q14" i="1"/>
  <c r="P14" i="1"/>
  <c r="S14" i="1" s="1"/>
  <c r="N14" i="1"/>
  <c r="O14" i="1" s="1"/>
  <c r="M14" i="1"/>
  <c r="L14" i="1"/>
  <c r="J14" i="1"/>
  <c r="K14" i="1" s="1"/>
  <c r="I14" i="1"/>
  <c r="H14" i="1"/>
  <c r="R13" i="1"/>
  <c r="Q13" i="1"/>
  <c r="P13" i="1"/>
  <c r="S13" i="1" s="1"/>
  <c r="N13" i="1"/>
  <c r="O13" i="1" s="1"/>
  <c r="M13" i="1"/>
  <c r="L13" i="1"/>
  <c r="J13" i="1"/>
  <c r="K13" i="1" s="1"/>
  <c r="I13" i="1"/>
  <c r="H13" i="1"/>
  <c r="R12" i="1"/>
  <c r="Q12" i="1"/>
  <c r="P12" i="1"/>
  <c r="S12" i="1" s="1"/>
  <c r="O12" i="1"/>
  <c r="N12" i="1"/>
  <c r="L12" i="1"/>
  <c r="M12" i="1" s="1"/>
  <c r="K12" i="1"/>
  <c r="J12" i="1"/>
  <c r="H12" i="1"/>
  <c r="I12" i="1" s="1"/>
  <c r="S11" i="1"/>
  <c r="R11" i="1"/>
  <c r="Q11" i="1"/>
  <c r="P11" i="1"/>
  <c r="O11" i="1"/>
  <c r="N11" i="1"/>
  <c r="L11" i="1"/>
  <c r="M11" i="1" s="1"/>
  <c r="K11" i="1"/>
  <c r="J11" i="1"/>
  <c r="H11" i="1"/>
  <c r="I11" i="1" s="1"/>
  <c r="R10" i="1"/>
  <c r="S10" i="1" s="1"/>
  <c r="Q10" i="1"/>
  <c r="P10" i="1"/>
  <c r="N10" i="1"/>
  <c r="O10" i="1" s="1"/>
  <c r="M10" i="1"/>
  <c r="L10" i="1"/>
  <c r="J10" i="1"/>
  <c r="K10" i="1" s="1"/>
  <c r="I10" i="1"/>
  <c r="H10" i="1"/>
  <c r="R9" i="1"/>
  <c r="Q9" i="1"/>
  <c r="P9" i="1"/>
  <c r="S9" i="1" s="1"/>
  <c r="N9" i="1"/>
  <c r="O9" i="1" s="1"/>
  <c r="M9" i="1"/>
  <c r="L9" i="1"/>
  <c r="J9" i="1"/>
  <c r="K9" i="1" s="1"/>
  <c r="I9" i="1"/>
  <c r="H9" i="1"/>
  <c r="R8" i="1"/>
  <c r="Q8" i="1"/>
  <c r="P8" i="1"/>
  <c r="S8" i="1" s="1"/>
  <c r="O8" i="1"/>
  <c r="N8" i="1"/>
  <c r="L8" i="1"/>
  <c r="M8" i="1" s="1"/>
  <c r="K8" i="1"/>
  <c r="J8" i="1"/>
  <c r="H8" i="1"/>
  <c r="I8" i="1" s="1"/>
  <c r="S7" i="1"/>
  <c r="R7" i="1"/>
  <c r="Q7" i="1"/>
  <c r="P7" i="1"/>
  <c r="O7" i="1"/>
  <c r="N7" i="1"/>
  <c r="L7" i="1"/>
  <c r="M7" i="1" s="1"/>
  <c r="K7" i="1"/>
  <c r="J7" i="1"/>
  <c r="H7" i="1"/>
  <c r="I7" i="1" s="1"/>
  <c r="R6" i="1"/>
  <c r="S6" i="1" s="1"/>
  <c r="Q6" i="1"/>
  <c r="P6" i="1"/>
  <c r="N6" i="1"/>
  <c r="O6" i="1" s="1"/>
  <c r="M6" i="1"/>
  <c r="L6" i="1"/>
  <c r="J6" i="1"/>
  <c r="K6" i="1" s="1"/>
  <c r="I6" i="1"/>
  <c r="H6" i="1"/>
  <c r="T9" i="1" l="1"/>
  <c r="T12" i="1"/>
  <c r="T16" i="1"/>
  <c r="T13" i="1"/>
  <c r="T15" i="1"/>
  <c r="T20" i="1"/>
  <c r="T6" i="1"/>
  <c r="T21" i="1"/>
  <c r="T8" i="1"/>
  <c r="T10" i="1"/>
  <c r="T17" i="1"/>
  <c r="T24" i="1"/>
  <c r="T36" i="1"/>
  <c r="T11" i="1"/>
  <c r="T23" i="1"/>
  <c r="T27" i="1"/>
  <c r="T31" i="1"/>
  <c r="T35" i="1"/>
  <c r="T39" i="1"/>
  <c r="T43" i="1"/>
  <c r="S47" i="1"/>
  <c r="N48" i="1"/>
  <c r="O48" i="1" s="1"/>
  <c r="N44" i="1"/>
  <c r="O44" i="1" s="1"/>
  <c r="N40" i="1"/>
  <c r="O40" i="1" s="1"/>
  <c r="N36" i="1"/>
  <c r="O36" i="1" s="1"/>
  <c r="N32" i="1"/>
  <c r="O32" i="1" s="1"/>
  <c r="N28" i="1"/>
  <c r="O28" i="1" s="1"/>
  <c r="N24" i="1"/>
  <c r="O24" i="1" s="1"/>
  <c r="N49" i="1"/>
  <c r="O49" i="1" s="1"/>
  <c r="N45" i="1"/>
  <c r="O45" i="1" s="1"/>
  <c r="N41" i="1"/>
  <c r="O41" i="1" s="1"/>
  <c r="N37" i="1"/>
  <c r="O37" i="1" s="1"/>
  <c r="N33" i="1"/>
  <c r="O33" i="1" s="1"/>
  <c r="N29" i="1"/>
  <c r="O29" i="1" s="1"/>
  <c r="N25" i="1"/>
  <c r="O25" i="1" s="1"/>
  <c r="N21" i="1"/>
  <c r="O21" i="1" s="1"/>
  <c r="N17" i="1"/>
  <c r="O17" i="1" s="1"/>
  <c r="N50" i="1"/>
  <c r="O50" i="1" s="1"/>
  <c r="N46" i="1"/>
  <c r="O46" i="1" s="1"/>
  <c r="N42" i="1"/>
  <c r="O42" i="1" s="1"/>
  <c r="N38" i="1"/>
  <c r="O38" i="1" s="1"/>
  <c r="N34" i="1"/>
  <c r="O34" i="1" s="1"/>
  <c r="N30" i="1"/>
  <c r="O30" i="1" s="1"/>
  <c r="N26" i="1"/>
  <c r="O26" i="1" s="1"/>
  <c r="N22" i="1"/>
  <c r="O22" i="1" s="1"/>
  <c r="T28" i="1"/>
  <c r="T40" i="1"/>
  <c r="T44" i="1"/>
  <c r="T48" i="1"/>
  <c r="T7" i="1"/>
  <c r="S22" i="1"/>
  <c r="S26" i="1"/>
  <c r="U49" i="1" s="1"/>
  <c r="V49" i="1" s="1"/>
  <c r="S30" i="1"/>
  <c r="U18" i="1" s="1"/>
  <c r="V18" i="1" s="1"/>
  <c r="S34" i="1"/>
  <c r="S38" i="1"/>
  <c r="U32" i="1"/>
  <c r="V32" i="1" s="1"/>
  <c r="T32" i="1"/>
  <c r="S50" i="1"/>
  <c r="J50" i="1"/>
  <c r="K50" i="1" s="1"/>
  <c r="U11" i="1" l="1"/>
  <c r="V11" i="1" s="1"/>
  <c r="T50" i="1"/>
  <c r="U50" i="1"/>
  <c r="V50" i="1" s="1"/>
  <c r="U47" i="1"/>
  <c r="V47" i="1" s="1"/>
  <c r="T47" i="1"/>
  <c r="U37" i="1"/>
  <c r="V37" i="1" s="1"/>
  <c r="U27" i="1"/>
  <c r="V27" i="1" s="1"/>
  <c r="U10" i="1"/>
  <c r="V10" i="1" s="1"/>
  <c r="U21" i="1"/>
  <c r="V21" i="1" s="1"/>
  <c r="U6" i="1"/>
  <c r="V6" i="1" s="1"/>
  <c r="U9" i="1"/>
  <c r="V9" i="1" s="1"/>
  <c r="U44" i="1"/>
  <c r="V44" i="1" s="1"/>
  <c r="U33" i="1"/>
  <c r="V33" i="1" s="1"/>
  <c r="U15" i="1"/>
  <c r="V15" i="1" s="1"/>
  <c r="U43" i="1"/>
  <c r="V43" i="1" s="1"/>
  <c r="U24" i="1"/>
  <c r="V24" i="1" s="1"/>
  <c r="T38" i="1"/>
  <c r="U38" i="1"/>
  <c r="V38" i="1" s="1"/>
  <c r="T22" i="1"/>
  <c r="U22" i="1"/>
  <c r="V22" i="1" s="1"/>
  <c r="U48" i="1"/>
  <c r="V48" i="1" s="1"/>
  <c r="U40" i="1"/>
  <c r="V40" i="1" s="1"/>
  <c r="U46" i="1"/>
  <c r="V46" i="1" s="1"/>
  <c r="U41" i="1"/>
  <c r="V41" i="1" s="1"/>
  <c r="U31" i="1"/>
  <c r="V31" i="1" s="1"/>
  <c r="U25" i="1"/>
  <c r="V25" i="1" s="1"/>
  <c r="U8" i="1"/>
  <c r="V8" i="1" s="1"/>
  <c r="U14" i="1"/>
  <c r="V14" i="1" s="1"/>
  <c r="U13" i="1"/>
  <c r="V13" i="1" s="1"/>
  <c r="U16" i="1"/>
  <c r="V16" i="1" s="1"/>
  <c r="T30" i="1"/>
  <c r="U30" i="1"/>
  <c r="V30" i="1" s="1"/>
  <c r="U28" i="1"/>
  <c r="V28" i="1" s="1"/>
  <c r="U39" i="1"/>
  <c r="V39" i="1" s="1"/>
  <c r="U23" i="1"/>
  <c r="V23" i="1" s="1"/>
  <c r="U12" i="1"/>
  <c r="V12" i="1" s="1"/>
  <c r="T26" i="1"/>
  <c r="U26" i="1"/>
  <c r="V26" i="1" s="1"/>
  <c r="T34" i="1"/>
  <c r="U34" i="1"/>
  <c r="V34" i="1" s="1"/>
  <c r="U19" i="1"/>
  <c r="V19" i="1" s="1"/>
  <c r="U45" i="1"/>
  <c r="V45" i="1" s="1"/>
  <c r="U35" i="1"/>
  <c r="V35" i="1" s="1"/>
  <c r="U29" i="1"/>
  <c r="V29" i="1" s="1"/>
  <c r="U36" i="1"/>
  <c r="V36" i="1" s="1"/>
  <c r="U17" i="1"/>
  <c r="V17" i="1" s="1"/>
  <c r="U42" i="1"/>
  <c r="V42" i="1" s="1"/>
  <c r="U20" i="1"/>
  <c r="V20" i="1" s="1"/>
  <c r="U7" i="1"/>
  <c r="V7" i="1" s="1"/>
</calcChain>
</file>

<file path=xl/sharedStrings.xml><?xml version="1.0" encoding="utf-8"?>
<sst xmlns="http://schemas.openxmlformats.org/spreadsheetml/2006/main" count="37" uniqueCount="36">
  <si>
    <t>DAY 20: Probability Distributions II</t>
  </si>
  <si>
    <t>Objective</t>
  </si>
  <si>
    <t>Practice Binomial, Poisson, Uniform, and Exponential distribution thinking.</t>
  </si>
  <si>
    <t>Suggested Practice:</t>
  </si>
  <si>
    <t>Attempt the exercises independently before reviewing guided solutions.</t>
  </si>
  <si>
    <t>Day</t>
  </si>
  <si>
    <t>Call_Arrivals</t>
  </si>
  <si>
    <t>Defects_Per_Batch</t>
  </si>
  <si>
    <t>Trial_Successes</t>
  </si>
  <si>
    <t>Waiting_Time_Minutes</t>
  </si>
  <si>
    <t>Random_Service_Rating</t>
  </si>
  <si>
    <t>Batch_Size</t>
  </si>
  <si>
    <t>Call_Prob</t>
  </si>
  <si>
    <t>Call_Flag</t>
  </si>
  <si>
    <t>Defects_Prob</t>
  </si>
  <si>
    <t>Defects_Flag</t>
  </si>
  <si>
    <t>Trial_Prob</t>
  </si>
  <si>
    <t>Trial_Flag</t>
  </si>
  <si>
    <t>Waiting_Prob</t>
  </si>
  <si>
    <t>Waiting_Flag</t>
  </si>
  <si>
    <t>Call_Arrivals_Norm</t>
  </si>
  <si>
    <t>Defects_Norm</t>
  </si>
  <si>
    <t>Waiting_Time_Norm</t>
  </si>
  <si>
    <t>Risk_Score</t>
  </si>
  <si>
    <t>Service_Issue_Flag</t>
  </si>
  <si>
    <t>Relative_Risk_Index</t>
  </si>
  <si>
    <t>Index_Flag</t>
  </si>
  <si>
    <t>MEAN CALCULATION (POISSON &amp; EXPONENTIAL)</t>
  </si>
  <si>
    <t>Defects</t>
  </si>
  <si>
    <t>Waiting Time</t>
  </si>
  <si>
    <t>Success Probability (p)</t>
  </si>
  <si>
    <t>Success Rate</t>
  </si>
  <si>
    <r>
      <t xml:space="preserve">RATE OF OCCURRENCE, </t>
    </r>
    <r>
      <rPr>
        <sz val="11"/>
        <rFont val="Cascadia Code"/>
        <family val="3"/>
      </rPr>
      <t>λ</t>
    </r>
  </si>
  <si>
    <t>SERVICE RATING - UNIFORM DISTRIBUTION</t>
  </si>
  <si>
    <t>Rating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</si>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</sst>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sz val="11"/>
      <name val="Cascadia Code"/>
      <family val="3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5B9BD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2" fillId="3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vertical="center" wrapText="1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" fontId="0" fillId="0" borderId="0" xfId="0" applyNumberFormat="1" applyAlignment="1">
      <alignment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24"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5B9BD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638A73-504B-4FCB-84F7-D5F49308F9B4}" name="Table11" displayName="Table11" ref="A5:V50" totalsRowShown="0" headerRowDxfId="23" dataDxfId="22">
  <autoFilter ref="A5:V50" xr:uid="{91E99FCA-D746-4E37-95BD-10880E502F1E}"/>
  <tableColumns count="22">
    <tableColumn id="1" xr3:uid="{36D856A9-179E-46FF-8584-5B35B256CBD3}" name="Day" dataDxfId="21"/>
    <tableColumn id="2" xr3:uid="{9F0334BF-CA4B-4C61-9B1F-D1864E6CAAC9}" name="Call_Arrivals" dataDxfId="20"/>
    <tableColumn id="3" xr3:uid="{5026F008-E837-4DCA-8611-A8205523E495}" name="Defects_Per_Batch" dataDxfId="19"/>
    <tableColumn id="4" xr3:uid="{62A02727-69D0-4892-82E8-3F59FE249858}" name="Trial_Successes" dataDxfId="18"/>
    <tableColumn id="5" xr3:uid="{E5CF0140-3BBE-450A-B718-4D7B0DBB0C14}" name="Waiting_Time_Minutes" dataDxfId="17"/>
    <tableColumn id="6" xr3:uid="{2EDE38DA-53F7-44FD-8480-877228533EE2}" name="Random_Service_Rating" dataDxfId="16"/>
    <tableColumn id="7" xr3:uid="{ED64E46C-EDBF-4F8A-9A8B-7572B18F4A7E}" name="Batch_Size" dataDxfId="15"/>
    <tableColumn id="9" xr3:uid="{8C9FC373-1D70-47D3-81FC-5103567F33B6}" name="Call_Prob" dataDxfId="14">
      <calculatedColumnFormula>ROUND(_xlfn.POISSON.DIST(Table11[[#This Row],[Call_Arrivals]],$B$54,FALSE),4)</calculatedColumnFormula>
    </tableColumn>
    <tableColumn id="13" xr3:uid="{A568DF2B-BA4C-4664-A1B7-BF049C91E6B4}" name="Call_Flag" dataDxfId="13">
      <calculatedColumnFormula>IF(Table11[[#This Row],[Call_Prob]]&gt;0.05,"Normal","Unusual")</calculatedColumnFormula>
    </tableColumn>
    <tableColumn id="10" xr3:uid="{9A8398B6-6E8D-4FAD-83E1-75DF4704CBCA}" name="Defects_Prob" dataDxfId="12">
      <calculatedColumnFormula>ROUND(_xlfn.POISSON.DIST(Table11[[#This Row],[Defects_Per_Batch]],$B$55,FALSE),3)</calculatedColumnFormula>
    </tableColumn>
    <tableColumn id="14" xr3:uid="{E6CCCE77-0E96-4BD7-92C9-A98D56EE74B9}" name="Defects_Flag" dataDxfId="11">
      <calculatedColumnFormula>IF(Table11[[#This Row],[Defects_Prob]]&lt;0.05,"Unusual","Normal")</calculatedColumnFormula>
    </tableColumn>
    <tableColumn id="11" xr3:uid="{371157DC-A0A8-429E-9F3A-EE019BDD7409}" name="Trial_Prob" dataDxfId="10">
      <calculatedColumnFormula>ROUND(_xlfn.BINOM.DIST(Table11[[#This Row],[Trial_Successes]],100,$B$59,FALSE),6)</calculatedColumnFormula>
    </tableColumn>
    <tableColumn id="15" xr3:uid="{AD0DD0E9-C029-4A00-9274-2D560663E23A}" name="Trial_Flag" dataDxfId="9">
      <calculatedColumnFormula>IF(Table11[[#This Row],[Trial_Prob]]&lt;0.05,"Rare Outcome","Expected Outcome")</calculatedColumnFormula>
    </tableColumn>
    <tableColumn id="12" xr3:uid="{7A532516-13F8-4BED-AF97-0C4D52123F58}" name="Waiting_Prob" dataDxfId="8">
      <calculatedColumnFormula>ROUND(_xlfn.EXPON.DIST(Table11[[#This Row],[Waiting_Time_Minutes]],$A$62,FALSE),3)</calculatedColumnFormula>
    </tableColumn>
    <tableColumn id="16" xr3:uid="{0B7E99D9-6212-4DEE-AC24-127EF413BC13}" name="Waiting_Flag" dataDxfId="7">
      <calculatedColumnFormula>IF(Table11[[#This Row],[Waiting_Prob]]&lt;0.05,"Long Wait","Normal Wait")</calculatedColumnFormula>
    </tableColumn>
    <tableColumn id="8" xr3:uid="{9D72CAE2-F6A5-4805-AFC9-305BCE1FEFD7}" name="Call_Arrivals_Norm" dataDxfId="6">
      <calculatedColumnFormula>Table11[[#This Row],[Call_Arrivals]]/MAX(Table11[Call_Arrivals])</calculatedColumnFormula>
    </tableColumn>
    <tableColumn id="17" xr3:uid="{AB01487D-16C5-46A8-A877-1AA97071334E}" name="Defects_Norm" dataDxfId="5">
      <calculatedColumnFormula>Table11[[#This Row],[Defects_Per_Batch]]/MAX(Table11[Defects_Per_Batch])</calculatedColumnFormula>
    </tableColumn>
    <tableColumn id="18" xr3:uid="{D344AA3A-C2B3-4D3F-B7BC-9BBFDB30AD96}" name="Waiting_Time_Norm" dataDxfId="4">
      <calculatedColumnFormula>Table11[[#This Row],[Waiting_Time_Minutes]] / MAX(Table11[Waiting_Time_Minutes])</calculatedColumnFormula>
    </tableColumn>
    <tableColumn id="19" xr3:uid="{79E5EDA9-FC2C-420B-93BF-7EAE0B362DC6}" name="Risk_Score" dataDxfId="3">
      <calculatedColumnFormula>ROUND((Table11[[#This Row],[Call_Arrivals_Norm]]*0.4)+(Table11[[#This Row],[Defects_Norm]]*0.3)+(Table11[[#This Row],[Waiting_Time_Norm]]*0.3),2)</calculatedColumnFormula>
    </tableColumn>
    <tableColumn id="20" xr3:uid="{1C6AAC63-E5D3-4BFC-8905-648EFB19CB37}" name="Service_Issue_Flag" dataDxfId="2">
      <calculatedColumnFormula>IF(Table11[[#This Row],[Risk_Score]]&gt;=0.7,"High Operational Risk",
IF(Table11[[#This Row],[Risk_Score]]&gt;=0.4,"Moderate Operational Risk",
"Normal"))</calculatedColumnFormula>
    </tableColumn>
    <tableColumn id="21" xr3:uid="{B2CCA4B8-8B9C-49F4-94DE-8B8096274D0A}" name="Relative_Risk_Index" dataDxfId="1">
      <calculatedColumnFormula>ROUND(Table11[[#This Row],[Risk_Score]]-AVERAGE(Table11[Risk_Score]),2)</calculatedColumnFormula>
    </tableColumn>
    <tableColumn id="22" xr3:uid="{5CADCD40-4146-4457-9B8F-03E0B4FB5E32}" name="Index_Flag" dataDxfId="0">
      <calculatedColumnFormula>IF(Table11[[#This Row],[Relative_Risk_Index]]&gt;0.1,"Above Average Risk",
IF(Table11[[#This Row],[Relative_Risk_Index]]&lt;-0.1,"Below Average Risk",
"Average Risk"))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993FD-5088-4DD4-A4B9-0F8760F815D1}">
  <dimension ref="A1:V70"/>
  <sheetViews>
    <sheetView tabSelected="1" topLeftCell="A47" zoomScaleNormal="100" workbookViewId="0">
      <selection activeCell="T7" sqref="T7"/>
    </sheetView>
  </sheetViews>
  <sheetFormatPr defaultRowHeight="13.8"/>
  <cols>
    <col min="1" max="1" width="18" customWidth="1"/>
    <col min="2" max="2" width="19.8984375" bestFit="1" customWidth="1"/>
    <col min="3" max="3" width="21.796875" bestFit="1" customWidth="1"/>
    <col min="4" max="4" width="19.296875" bestFit="1" customWidth="1"/>
    <col min="5" max="5" width="24.8984375" bestFit="1" customWidth="1"/>
    <col min="6" max="6" width="26.796875" bestFit="1" customWidth="1"/>
    <col min="7" max="7" width="14.59765625" bestFit="1" customWidth="1"/>
    <col min="8" max="8" width="13.296875" bestFit="1" customWidth="1"/>
    <col min="9" max="9" width="12.8984375" bestFit="1" customWidth="1"/>
    <col min="10" max="10" width="16.69921875" bestFit="1" customWidth="1"/>
    <col min="11" max="11" width="16.296875" bestFit="1" customWidth="1"/>
    <col min="12" max="12" width="13.796875" bestFit="1" customWidth="1"/>
    <col min="13" max="13" width="16.09765625" bestFit="1" customWidth="1"/>
    <col min="14" max="14" width="16.5" bestFit="1" customWidth="1"/>
    <col min="15" max="15" width="16.09765625" bestFit="1" customWidth="1"/>
    <col min="16" max="16" width="22" bestFit="1" customWidth="1"/>
    <col min="17" max="19" width="22" customWidth="1"/>
    <col min="20" max="20" width="24" bestFit="1" customWidth="1"/>
    <col min="21" max="21" width="23" bestFit="1" customWidth="1"/>
    <col min="22" max="22" width="14.5" bestFit="1" customWidth="1"/>
  </cols>
  <sheetData>
    <row r="1" spans="1:22" ht="17.399999999999999">
      <c r="A1" s="1" t="s">
        <v>0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</row>
    <row r="2" spans="1:22" ht="55.2">
      <c r="A2" s="5" t="s">
        <v>1</v>
      </c>
      <c r="B2" s="5" t="s">
        <v>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spans="1:22" ht="69">
      <c r="A3" s="5" t="s">
        <v>3</v>
      </c>
      <c r="B3" s="5" t="s">
        <v>4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22">
      <c r="A4" s="7"/>
      <c r="B4" s="7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</row>
    <row r="5" spans="1:22">
      <c r="A5" s="8" t="s">
        <v>5</v>
      </c>
      <c r="B5" s="8" t="s">
        <v>6</v>
      </c>
      <c r="C5" s="8" t="s">
        <v>7</v>
      </c>
      <c r="D5" s="8" t="s">
        <v>8</v>
      </c>
      <c r="E5" s="8" t="s">
        <v>9</v>
      </c>
      <c r="F5" s="8" t="s">
        <v>10</v>
      </c>
      <c r="G5" s="8" t="s">
        <v>11</v>
      </c>
      <c r="H5" s="9" t="s">
        <v>12</v>
      </c>
      <c r="I5" s="9" t="s">
        <v>13</v>
      </c>
      <c r="J5" s="9" t="s">
        <v>14</v>
      </c>
      <c r="K5" s="9" t="s">
        <v>15</v>
      </c>
      <c r="L5" s="9" t="s">
        <v>16</v>
      </c>
      <c r="M5" s="9" t="s">
        <v>17</v>
      </c>
      <c r="N5" s="9" t="s">
        <v>18</v>
      </c>
      <c r="O5" s="9" t="s">
        <v>19</v>
      </c>
      <c r="P5" s="9" t="s">
        <v>20</v>
      </c>
      <c r="Q5" s="9" t="s">
        <v>21</v>
      </c>
      <c r="R5" s="9" t="s">
        <v>22</v>
      </c>
      <c r="S5" s="9" t="s">
        <v>23</v>
      </c>
      <c r="T5" s="9" t="s">
        <v>24</v>
      </c>
      <c r="U5" s="9" t="s">
        <v>25</v>
      </c>
      <c r="V5" s="9" t="s">
        <v>26</v>
      </c>
    </row>
    <row r="6" spans="1:22">
      <c r="A6" s="6">
        <v>1</v>
      </c>
      <c r="B6" s="6">
        <v>25</v>
      </c>
      <c r="C6" s="6">
        <v>4</v>
      </c>
      <c r="D6" s="6">
        <v>12</v>
      </c>
      <c r="E6" s="6">
        <v>0.74</v>
      </c>
      <c r="F6" s="6">
        <v>3</v>
      </c>
      <c r="G6" s="6">
        <v>100</v>
      </c>
      <c r="H6" s="6">
        <f>ROUND(_xlfn.POISSON.DIST(Table11[[#This Row],[Call_Arrivals]],$B$54,FALSE),4)</f>
        <v>7.4399999999999994E-2</v>
      </c>
      <c r="I6" s="6" t="str">
        <f>IF(Table11[[#This Row],[Call_Prob]]&gt;0.05,"Normal","Unusual")</f>
        <v>Normal</v>
      </c>
      <c r="J6" s="6">
        <f>ROUND(_xlfn.POISSON.DIST(Table11[[#This Row],[Defects_Per_Batch]],$B$55,FALSE),3)</f>
        <v>0.13300000000000001</v>
      </c>
      <c r="K6" s="6" t="str">
        <f>IF(Table11[[#This Row],[Defects_Prob]]&lt;0.05,"Unusual","Normal")</f>
        <v>Normal</v>
      </c>
      <c r="L6" s="6">
        <f>ROUND(_xlfn.BINOM.DIST(Table11[[#This Row],[Trial_Successes]],100,$B$59,FALSE),6)</f>
        <v>0.11651400000000001</v>
      </c>
      <c r="M6" s="6" t="str">
        <f>IF(Table11[[#This Row],[Trial_Prob]]&lt;0.05,"Rare Outcome","Expected Outcome")</f>
        <v>Expected Outcome</v>
      </c>
      <c r="N6" s="6">
        <f>ROUND(_xlfn.EXPON.DIST(Table11[[#This Row],[Waiting_Time_Minutes]],$A$62,FALSE),3)</f>
        <v>0.17499999999999999</v>
      </c>
      <c r="O6" s="6" t="str">
        <f>IF(Table11[[#This Row],[Waiting_Prob]]&lt;0.05,"Long Wait","Normal Wait")</f>
        <v>Normal Wait</v>
      </c>
      <c r="P6" s="6">
        <f>Table11[[#This Row],[Call_Arrivals]]/MAX(Table11[Call_Arrivals])</f>
        <v>0.65789473684210531</v>
      </c>
      <c r="Q6" s="6">
        <f>Table11[[#This Row],[Defects_Per_Batch]]/MAX(Table11[Defects_Per_Batch])</f>
        <v>0.5</v>
      </c>
      <c r="R6" s="6">
        <f>Table11[[#This Row],[Waiting_Time_Minutes]] / MAX(Table11[Waiting_Time_Minutes])</f>
        <v>3.8501560874089492E-2</v>
      </c>
      <c r="S6" s="6">
        <f>ROUND((Table11[[#This Row],[Call_Arrivals_Norm]]*0.4)+(Table11[[#This Row],[Defects_Norm]]*0.3)+(Table11[[#This Row],[Waiting_Time_Norm]]*0.3),2)</f>
        <v>0.42</v>
      </c>
      <c r="T6" t="str">
        <f>IF(Table11[[#This Row],[Risk_Score]]&gt;=0.7,"High Operational Risk",
IF(Table11[[#This Row],[Risk_Score]]&gt;=0.4,"Moderate Operational Risk",
"Normal"))</f>
        <v>Moderate Operational Risk</v>
      </c>
      <c r="U6" s="6">
        <f>ROUND(Table11[[#This Row],[Risk_Score]]-AVERAGE(Table11[Risk_Score]),2)</f>
        <v>-0.03</v>
      </c>
      <c r="V6" s="6" t="str">
        <f>IF(Table11[[#This Row],[Relative_Risk_Index]]&gt;0.1,"Above Average Risk",
IF(Table11[[#This Row],[Relative_Risk_Index]]&lt;-0.1,"Below Average Risk",
"Average Risk"))</f>
        <v>Average Risk</v>
      </c>
    </row>
    <row r="7" spans="1:22" ht="27.6">
      <c r="A7" s="6">
        <v>2</v>
      </c>
      <c r="B7" s="6">
        <v>25</v>
      </c>
      <c r="C7" s="6">
        <v>6</v>
      </c>
      <c r="D7" s="6">
        <v>12</v>
      </c>
      <c r="E7" s="6">
        <v>6.58</v>
      </c>
      <c r="F7" s="6">
        <v>1</v>
      </c>
      <c r="G7" s="6">
        <v>100</v>
      </c>
      <c r="H7" s="6">
        <f>ROUND(_xlfn.POISSON.DIST(Table11[[#This Row],[Call_Arrivals]],$B$54,FALSE),4)</f>
        <v>7.4399999999999994E-2</v>
      </c>
      <c r="I7" s="6" t="str">
        <f>IF(Table11[[#This Row],[Call_Prob]]&gt;0.05,"Normal","Unusual")</f>
        <v>Normal</v>
      </c>
      <c r="J7" s="6">
        <f>ROUND(_xlfn.POISSON.DIST(Table11[[#This Row],[Defects_Per_Batch]],$B$55,FALSE),3)</f>
        <v>2.7E-2</v>
      </c>
      <c r="K7" s="6" t="str">
        <f>IF(Table11[[#This Row],[Defects_Prob]]&lt;0.05,"Unusual","Normal")</f>
        <v>Unusual</v>
      </c>
      <c r="L7" s="6">
        <f>ROUND(_xlfn.BINOM.DIST(Table11[[#This Row],[Trial_Successes]],100,$B$59,FALSE),6)</f>
        <v>0.11651400000000001</v>
      </c>
      <c r="M7" s="6" t="str">
        <f>IF(Table11[[#This Row],[Trial_Prob]]&lt;0.05,"Rare Outcome","Expected Outcome")</f>
        <v>Expected Outcome</v>
      </c>
      <c r="N7" s="6">
        <f>ROUND(_xlfn.EXPON.DIST(Table11[[#This Row],[Waiting_Time_Minutes]],$A$62,FALSE),3)</f>
        <v>5.2999999999999999E-2</v>
      </c>
      <c r="O7" s="6" t="str">
        <f>IF(Table11[[#This Row],[Waiting_Prob]]&lt;0.05,"Long Wait","Normal Wait")</f>
        <v>Normal Wait</v>
      </c>
      <c r="P7" s="6">
        <f>Table11[[#This Row],[Call_Arrivals]]/MAX(Table11[Call_Arrivals])</f>
        <v>0.65789473684210531</v>
      </c>
      <c r="Q7" s="6">
        <f>Table11[[#This Row],[Defects_Per_Batch]]/MAX(Table11[Defects_Per_Batch])</f>
        <v>0.75</v>
      </c>
      <c r="R7" s="6">
        <f>Table11[[#This Row],[Waiting_Time_Minutes]] / MAX(Table11[Waiting_Time_Minutes])</f>
        <v>0.34235171696149846</v>
      </c>
      <c r="S7" s="6">
        <f>ROUND((Table11[[#This Row],[Call_Arrivals_Norm]]*0.4)+(Table11[[#This Row],[Defects_Norm]]*0.3)+(Table11[[#This Row],[Waiting_Time_Norm]]*0.3),2)</f>
        <v>0.59</v>
      </c>
      <c r="T7" t="str">
        <f>IF(Table11[[#This Row],[Risk_Score]]&gt;=0.7,"High Operational Risk",
IF(Table11[[#This Row],[Risk_Score]]&gt;=0.4,"Moderate Operational Risk",
"Normal"))</f>
        <v>Moderate Operational Risk</v>
      </c>
      <c r="U7" s="6">
        <f>ROUND(Table11[[#This Row],[Risk_Score]]-AVERAGE(Table11[Risk_Score]),2)</f>
        <v>0.14000000000000001</v>
      </c>
      <c r="V7" s="6" t="str">
        <f>IF(Table11[[#This Row],[Relative_Risk_Index]]&gt;0.1,"Above Average Risk",
IF(Table11[[#This Row],[Relative_Risk_Index]]&lt;-0.1,"Below Average Risk",
"Average Risk"))</f>
        <v>Above Average Risk</v>
      </c>
    </row>
    <row r="8" spans="1:22">
      <c r="A8" s="6">
        <v>3</v>
      </c>
      <c r="B8" s="6">
        <v>37</v>
      </c>
      <c r="C8" s="6">
        <v>1</v>
      </c>
      <c r="D8" s="6">
        <v>13</v>
      </c>
      <c r="E8" s="6">
        <v>7.99</v>
      </c>
      <c r="F8" s="6">
        <v>3</v>
      </c>
      <c r="G8" s="6">
        <v>100</v>
      </c>
      <c r="H8" s="6">
        <f>ROUND(_xlfn.POISSON.DIST(Table11[[#This Row],[Call_Arrivals]],$B$54,FALSE),4)</f>
        <v>1.1900000000000001E-2</v>
      </c>
      <c r="I8" s="6" t="str">
        <f>IF(Table11[[#This Row],[Call_Prob]]&gt;0.05,"Normal","Unusual")</f>
        <v>Unusual</v>
      </c>
      <c r="J8" s="6">
        <f>ROUND(_xlfn.POISSON.DIST(Table11[[#This Row],[Defects_Per_Batch]],$B$55,FALSE),3)</f>
        <v>0.20599999999999999</v>
      </c>
      <c r="K8" s="6" t="str">
        <f>IF(Table11[[#This Row],[Defects_Prob]]&lt;0.05,"Unusual","Normal")</f>
        <v>Normal</v>
      </c>
      <c r="L8" s="6">
        <f>ROUND(_xlfn.BINOM.DIST(Table11[[#This Row],[Trial_Successes]],100,$B$59,FALSE),6)</f>
        <v>0.117853</v>
      </c>
      <c r="M8" s="6" t="str">
        <f>IF(Table11[[#This Row],[Trial_Prob]]&lt;0.05,"Rare Outcome","Expected Outcome")</f>
        <v>Expected Outcome</v>
      </c>
      <c r="N8" s="6">
        <f>ROUND(_xlfn.EXPON.DIST(Table11[[#This Row],[Waiting_Time_Minutes]],$A$62,FALSE),3)</f>
        <v>0.04</v>
      </c>
      <c r="O8" s="6" t="str">
        <f>IF(Table11[[#This Row],[Waiting_Prob]]&lt;0.05,"Long Wait","Normal Wait")</f>
        <v>Long Wait</v>
      </c>
      <c r="P8" s="6">
        <f>Table11[[#This Row],[Call_Arrivals]]/MAX(Table11[Call_Arrivals])</f>
        <v>0.97368421052631582</v>
      </c>
      <c r="Q8" s="6">
        <f>Table11[[#This Row],[Defects_Per_Batch]]/MAX(Table11[Defects_Per_Batch])</f>
        <v>0.125</v>
      </c>
      <c r="R8" s="6">
        <f>Table11[[#This Row],[Waiting_Time_Minutes]] / MAX(Table11[Waiting_Time_Minutes])</f>
        <v>0.41571279916753384</v>
      </c>
      <c r="S8" s="6">
        <f>ROUND((Table11[[#This Row],[Call_Arrivals_Norm]]*0.4)+(Table11[[#This Row],[Defects_Norm]]*0.3)+(Table11[[#This Row],[Waiting_Time_Norm]]*0.3),2)</f>
        <v>0.55000000000000004</v>
      </c>
      <c r="T8" t="str">
        <f>IF(Table11[[#This Row],[Risk_Score]]&gt;=0.7,"High Operational Risk",
IF(Table11[[#This Row],[Risk_Score]]&gt;=0.4,"Moderate Operational Risk",
"Normal"))</f>
        <v>Moderate Operational Risk</v>
      </c>
      <c r="U8" s="6">
        <f>ROUND(Table11[[#This Row],[Risk_Score]]-AVERAGE(Table11[Risk_Score]),2)</f>
        <v>0.1</v>
      </c>
      <c r="V8" s="6" t="str">
        <f>IF(Table11[[#This Row],[Relative_Risk_Index]]&gt;0.1,"Above Average Risk",
IF(Table11[[#This Row],[Relative_Risk_Index]]&lt;-0.1,"Below Average Risk",
"Average Risk"))</f>
        <v>Average Risk</v>
      </c>
    </row>
    <row r="9" spans="1:22" ht="27.6">
      <c r="A9" s="6">
        <v>4</v>
      </c>
      <c r="B9" s="6">
        <v>19</v>
      </c>
      <c r="C9" s="6">
        <v>0</v>
      </c>
      <c r="D9" s="6">
        <v>17</v>
      </c>
      <c r="E9" s="6">
        <v>0.41</v>
      </c>
      <c r="F9" s="6">
        <v>3</v>
      </c>
      <c r="G9" s="6">
        <v>100</v>
      </c>
      <c r="H9" s="6">
        <f>ROUND(_xlfn.POISSON.DIST(Table11[[#This Row],[Call_Arrivals]],$B$54,FALSE),4)</f>
        <v>2.52E-2</v>
      </c>
      <c r="I9" s="6" t="str">
        <f>IF(Table11[[#This Row],[Call_Prob]]&gt;0.05,"Normal","Unusual")</f>
        <v>Unusual</v>
      </c>
      <c r="J9" s="6">
        <f>ROUND(_xlfn.POISSON.DIST(Table11[[#This Row],[Defects_Per_Batch]],$B$55,FALSE),3)</f>
        <v>8.3000000000000004E-2</v>
      </c>
      <c r="K9" s="6" t="str">
        <f>IF(Table11[[#This Row],[Defects_Prob]]&lt;0.05,"Unusual","Normal")</f>
        <v>Normal</v>
      </c>
      <c r="L9" s="6">
        <f>ROUND(_xlfn.BINOM.DIST(Table11[[#This Row],[Trial_Successes]],100,$B$59,FALSE),6)</f>
        <v>5.4949999999999999E-2</v>
      </c>
      <c r="M9" s="6" t="str">
        <f>IF(Table11[[#This Row],[Trial_Prob]]&lt;0.05,"Rare Outcome","Expected Outcome")</f>
        <v>Expected Outcome</v>
      </c>
      <c r="N9" s="6">
        <f>ROUND(_xlfn.EXPON.DIST(Table11[[#This Row],[Waiting_Time_Minutes]],$A$62,FALSE),3)</f>
        <v>0.188</v>
      </c>
      <c r="O9" s="6" t="str">
        <f>IF(Table11[[#This Row],[Waiting_Prob]]&lt;0.05,"Long Wait","Normal Wait")</f>
        <v>Normal Wait</v>
      </c>
      <c r="P9" s="6">
        <f>Table11[[#This Row],[Call_Arrivals]]/MAX(Table11[Call_Arrivals])</f>
        <v>0.5</v>
      </c>
      <c r="Q9" s="10">
        <f>Table11[[#This Row],[Defects_Per_Batch]]/MAX(Table11[Defects_Per_Batch])</f>
        <v>0</v>
      </c>
      <c r="R9" s="6">
        <f>Table11[[#This Row],[Waiting_Time_Minutes]] / MAX(Table11[Waiting_Time_Minutes])</f>
        <v>2.133194588969823E-2</v>
      </c>
      <c r="S9" s="6">
        <f>ROUND((Table11[[#This Row],[Call_Arrivals_Norm]]*0.4)+(Table11[[#This Row],[Defects_Norm]]*0.3)+(Table11[[#This Row],[Waiting_Time_Norm]]*0.3),2)</f>
        <v>0.21</v>
      </c>
      <c r="T9" t="str">
        <f>IF(Table11[[#This Row],[Risk_Score]]&gt;=0.7,"High Operational Risk",
IF(Table11[[#This Row],[Risk_Score]]&gt;=0.4,"Moderate Operational Risk",
"Normal"))</f>
        <v>Normal</v>
      </c>
      <c r="U9" s="6">
        <f>ROUND(Table11[[#This Row],[Risk_Score]]-AVERAGE(Table11[Risk_Score]),2)</f>
        <v>-0.24</v>
      </c>
      <c r="V9" s="6" t="str">
        <f>IF(Table11[[#This Row],[Relative_Risk_Index]]&gt;0.1,"Above Average Risk",
IF(Table11[[#This Row],[Relative_Risk_Index]]&lt;-0.1,"Below Average Risk",
"Average Risk"))</f>
        <v>Below Average Risk</v>
      </c>
    </row>
    <row r="10" spans="1:22" ht="27.6">
      <c r="A10" s="6">
        <v>5</v>
      </c>
      <c r="B10" s="6">
        <v>34</v>
      </c>
      <c r="C10" s="6">
        <v>8</v>
      </c>
      <c r="D10" s="6">
        <v>13</v>
      </c>
      <c r="E10" s="6">
        <v>12.64</v>
      </c>
      <c r="F10" s="6">
        <v>4</v>
      </c>
      <c r="G10" s="6">
        <v>100</v>
      </c>
      <c r="H10" s="6">
        <f>ROUND(_xlfn.POISSON.DIST(Table11[[#This Row],[Call_Arrivals]],$B$54,FALSE),4)</f>
        <v>2.8500000000000001E-2</v>
      </c>
      <c r="I10" s="6" t="str">
        <f>IF(Table11[[#This Row],[Call_Prob]]&gt;0.05,"Normal","Unusual")</f>
        <v>Unusual</v>
      </c>
      <c r="J10" s="6">
        <f>ROUND(_xlfn.POISSON.DIST(Table11[[#This Row],[Defects_Per_Batch]],$B$55,FALSE),3)</f>
        <v>3.0000000000000001E-3</v>
      </c>
      <c r="K10" s="6" t="str">
        <f>IF(Table11[[#This Row],[Defects_Prob]]&lt;0.05,"Unusual","Normal")</f>
        <v>Unusual</v>
      </c>
      <c r="L10" s="6">
        <f>ROUND(_xlfn.BINOM.DIST(Table11[[#This Row],[Trial_Successes]],100,$B$59,FALSE),6)</f>
        <v>0.117853</v>
      </c>
      <c r="M10" s="6" t="str">
        <f>IF(Table11[[#This Row],[Trial_Prob]]&lt;0.05,"Rare Outcome","Expected Outcome")</f>
        <v>Expected Outcome</v>
      </c>
      <c r="N10" s="6">
        <f>ROUND(_xlfn.EXPON.DIST(Table11[[#This Row],[Waiting_Time_Minutes]],$A$62,FALSE),3)</f>
        <v>1.4999999999999999E-2</v>
      </c>
      <c r="O10" s="6" t="str">
        <f>IF(Table11[[#This Row],[Waiting_Prob]]&lt;0.05,"Long Wait","Normal Wait")</f>
        <v>Long Wait</v>
      </c>
      <c r="P10" s="6">
        <f>Table11[[#This Row],[Call_Arrivals]]/MAX(Table11[Call_Arrivals])</f>
        <v>0.89473684210526316</v>
      </c>
      <c r="Q10" s="6">
        <f>Table11[[#This Row],[Defects_Per_Batch]]/MAX(Table11[Defects_Per_Batch])</f>
        <v>1</v>
      </c>
      <c r="R10" s="6">
        <f>Table11[[#This Row],[Waiting_Time_Minutes]] / MAX(Table11[Waiting_Time_Minutes])</f>
        <v>0.65764828303850165</v>
      </c>
      <c r="S10" s="6">
        <f>ROUND((Table11[[#This Row],[Call_Arrivals_Norm]]*0.4)+(Table11[[#This Row],[Defects_Norm]]*0.3)+(Table11[[#This Row],[Waiting_Time_Norm]]*0.3),2)</f>
        <v>0.86</v>
      </c>
      <c r="T10" t="str">
        <f>IF(Table11[[#This Row],[Risk_Score]]&gt;=0.7,"High Operational Risk",
IF(Table11[[#This Row],[Risk_Score]]&gt;=0.4,"Moderate Operational Risk",
"Normal"))</f>
        <v>High Operational Risk</v>
      </c>
      <c r="U10" s="6">
        <f>ROUND(Table11[[#This Row],[Risk_Score]]-AVERAGE(Table11[Risk_Score]),2)</f>
        <v>0.41</v>
      </c>
      <c r="V10" s="6" t="str">
        <f>IF(Table11[[#This Row],[Relative_Risk_Index]]&gt;0.1,"Above Average Risk",
IF(Table11[[#This Row],[Relative_Risk_Index]]&lt;-0.1,"Below Average Risk",
"Average Risk"))</f>
        <v>Above Average Risk</v>
      </c>
    </row>
    <row r="11" spans="1:22">
      <c r="A11" s="6">
        <v>6</v>
      </c>
      <c r="B11" s="6">
        <v>23</v>
      </c>
      <c r="C11" s="6">
        <v>1</v>
      </c>
      <c r="D11" s="6">
        <v>8</v>
      </c>
      <c r="E11" s="6">
        <v>8.09</v>
      </c>
      <c r="F11" s="6">
        <v>3</v>
      </c>
      <c r="G11" s="6">
        <v>100</v>
      </c>
      <c r="H11" s="6">
        <f>ROUND(_xlfn.POISSON.DIST(Table11[[#This Row],[Call_Arrivals]],$B$54,FALSE),4)</f>
        <v>6.1800000000000001E-2</v>
      </c>
      <c r="I11" s="6" t="str">
        <f>IF(Table11[[#This Row],[Call_Prob]]&gt;0.05,"Normal","Unusual")</f>
        <v>Normal</v>
      </c>
      <c r="J11" s="6">
        <f>ROUND(_xlfn.POISSON.DIST(Table11[[#This Row],[Defects_Per_Batch]],$B$55,FALSE),3)</f>
        <v>0.20599999999999999</v>
      </c>
      <c r="K11" s="6" t="str">
        <f>IF(Table11[[#This Row],[Defects_Prob]]&lt;0.05,"Unusual","Normal")</f>
        <v>Normal</v>
      </c>
      <c r="L11" s="6">
        <f>ROUND(_xlfn.BINOM.DIST(Table11[[#This Row],[Trial_Successes]],100,$B$59,FALSE),6)</f>
        <v>4.1403000000000002E-2</v>
      </c>
      <c r="M11" s="6" t="str">
        <f>IF(Table11[[#This Row],[Trial_Prob]]&lt;0.05,"Rare Outcome","Expected Outcome")</f>
        <v>Rare Outcome</v>
      </c>
      <c r="N11" s="6">
        <f>ROUND(_xlfn.EXPON.DIST(Table11[[#This Row],[Waiting_Time_Minutes]],$A$62,FALSE),3)</f>
        <v>3.9E-2</v>
      </c>
      <c r="O11" s="6" t="str">
        <f>IF(Table11[[#This Row],[Waiting_Prob]]&lt;0.05,"Long Wait","Normal Wait")</f>
        <v>Long Wait</v>
      </c>
      <c r="P11" s="6">
        <f>Table11[[#This Row],[Call_Arrivals]]/MAX(Table11[Call_Arrivals])</f>
        <v>0.60526315789473684</v>
      </c>
      <c r="Q11" s="6">
        <f>Table11[[#This Row],[Defects_Per_Batch]]/MAX(Table11[Defects_Per_Batch])</f>
        <v>0.125</v>
      </c>
      <c r="R11" s="6">
        <f>Table11[[#This Row],[Waiting_Time_Minutes]] / MAX(Table11[Waiting_Time_Minutes])</f>
        <v>0.42091571279916756</v>
      </c>
      <c r="S11" s="6">
        <f>ROUND((Table11[[#This Row],[Call_Arrivals_Norm]]*0.4)+(Table11[[#This Row],[Defects_Norm]]*0.3)+(Table11[[#This Row],[Waiting_Time_Norm]]*0.3),2)</f>
        <v>0.41</v>
      </c>
      <c r="T11" t="str">
        <f>IF(Table11[[#This Row],[Risk_Score]]&gt;=0.7,"High Operational Risk",
IF(Table11[[#This Row],[Risk_Score]]&gt;=0.4,"Moderate Operational Risk",
"Normal"))</f>
        <v>Moderate Operational Risk</v>
      </c>
      <c r="U11" s="6">
        <f>ROUND(Table11[[#This Row],[Risk_Score]]-AVERAGE(Table11[Risk_Score]),2)</f>
        <v>-0.04</v>
      </c>
      <c r="V11" s="6" t="str">
        <f>IF(Table11[[#This Row],[Relative_Risk_Index]]&gt;0.1,"Above Average Risk",
IF(Table11[[#This Row],[Relative_Risk_Index]]&lt;-0.1,"Below Average Risk",
"Average Risk"))</f>
        <v>Average Risk</v>
      </c>
    </row>
    <row r="12" spans="1:22">
      <c r="A12" s="6">
        <v>7</v>
      </c>
      <c r="B12" s="6">
        <v>29</v>
      </c>
      <c r="C12" s="6">
        <v>1</v>
      </c>
      <c r="D12" s="6">
        <v>12</v>
      </c>
      <c r="E12" s="6">
        <v>0.71</v>
      </c>
      <c r="F12" s="6">
        <v>3</v>
      </c>
      <c r="G12" s="6">
        <v>100</v>
      </c>
      <c r="H12" s="6">
        <f>ROUND(_xlfn.POISSON.DIST(Table11[[#This Row],[Call_Arrivals]],$B$54,FALSE),4)</f>
        <v>6.8000000000000005E-2</v>
      </c>
      <c r="I12" s="6" t="str">
        <f>IF(Table11[[#This Row],[Call_Prob]]&gt;0.05,"Normal","Unusual")</f>
        <v>Normal</v>
      </c>
      <c r="J12" s="6">
        <f>ROUND(_xlfn.POISSON.DIST(Table11[[#This Row],[Defects_Per_Batch]],$B$55,FALSE),3)</f>
        <v>0.20599999999999999</v>
      </c>
      <c r="K12" s="6" t="str">
        <f>IF(Table11[[#This Row],[Defects_Prob]]&lt;0.05,"Unusual","Normal")</f>
        <v>Normal</v>
      </c>
      <c r="L12" s="6">
        <f>ROUND(_xlfn.BINOM.DIST(Table11[[#This Row],[Trial_Successes]],100,$B$59,FALSE),6)</f>
        <v>0.11651400000000001</v>
      </c>
      <c r="M12" s="6" t="str">
        <f>IF(Table11[[#This Row],[Trial_Prob]]&lt;0.05,"Rare Outcome","Expected Outcome")</f>
        <v>Expected Outcome</v>
      </c>
      <c r="N12" s="6">
        <f>ROUND(_xlfn.EXPON.DIST(Table11[[#This Row],[Waiting_Time_Minutes]],$A$62,FALSE),3)</f>
        <v>0.17699999999999999</v>
      </c>
      <c r="O12" s="6" t="str">
        <f>IF(Table11[[#This Row],[Waiting_Prob]]&lt;0.05,"Long Wait","Normal Wait")</f>
        <v>Normal Wait</v>
      </c>
      <c r="P12" s="6">
        <f>Table11[[#This Row],[Call_Arrivals]]/MAX(Table11[Call_Arrivals])</f>
        <v>0.76315789473684215</v>
      </c>
      <c r="Q12" s="6">
        <f>Table11[[#This Row],[Defects_Per_Batch]]/MAX(Table11[Defects_Per_Batch])</f>
        <v>0.125</v>
      </c>
      <c r="R12" s="6">
        <f>Table11[[#This Row],[Waiting_Time_Minutes]] / MAX(Table11[Waiting_Time_Minutes])</f>
        <v>3.6940686784599379E-2</v>
      </c>
      <c r="S12" s="6">
        <f>ROUND((Table11[[#This Row],[Call_Arrivals_Norm]]*0.4)+(Table11[[#This Row],[Defects_Norm]]*0.3)+(Table11[[#This Row],[Waiting_Time_Norm]]*0.3),2)</f>
        <v>0.35</v>
      </c>
      <c r="T12" t="str">
        <f>IF(Table11[[#This Row],[Risk_Score]]&gt;=0.7,"High Operational Risk",
IF(Table11[[#This Row],[Risk_Score]]&gt;=0.4,"Moderate Operational Risk",
"Normal"))</f>
        <v>Normal</v>
      </c>
      <c r="U12" s="6">
        <f>ROUND(Table11[[#This Row],[Risk_Score]]-AVERAGE(Table11[Risk_Score]),2)</f>
        <v>-0.1</v>
      </c>
      <c r="V12" s="6" t="str">
        <f>IF(Table11[[#This Row],[Relative_Risk_Index]]&gt;0.1,"Above Average Risk",
IF(Table11[[#This Row],[Relative_Risk_Index]]&lt;-0.1,"Below Average Risk",
"Average Risk"))</f>
        <v>Average Risk</v>
      </c>
    </row>
    <row r="13" spans="1:22">
      <c r="A13" s="6">
        <v>8</v>
      </c>
      <c r="B13" s="6">
        <v>38</v>
      </c>
      <c r="C13" s="6">
        <v>2</v>
      </c>
      <c r="D13" s="6">
        <v>13</v>
      </c>
      <c r="E13" s="6">
        <v>1.75</v>
      </c>
      <c r="F13" s="6">
        <v>4</v>
      </c>
      <c r="G13" s="6">
        <v>100</v>
      </c>
      <c r="H13" s="6">
        <f>ROUND(_xlfn.POISSON.DIST(Table11[[#This Row],[Call_Arrivals]],$B$54,FALSE),4)</f>
        <v>8.3999999999999995E-3</v>
      </c>
      <c r="I13" s="6" t="str">
        <f>IF(Table11[[#This Row],[Call_Prob]]&gt;0.05,"Normal","Unusual")</f>
        <v>Unusual</v>
      </c>
      <c r="J13" s="6">
        <f>ROUND(_xlfn.POISSON.DIST(Table11[[#This Row],[Defects_Per_Batch]],$B$55,FALSE),3)</f>
        <v>0.25700000000000001</v>
      </c>
      <c r="K13" s="6" t="str">
        <f>IF(Table11[[#This Row],[Defects_Prob]]&lt;0.05,"Unusual","Normal")</f>
        <v>Normal</v>
      </c>
      <c r="L13" s="6">
        <f>ROUND(_xlfn.BINOM.DIST(Table11[[#This Row],[Trial_Successes]],100,$B$59,FALSE),6)</f>
        <v>0.117853</v>
      </c>
      <c r="M13" s="6" t="str">
        <f>IF(Table11[[#This Row],[Trial_Prob]]&lt;0.05,"Rare Outcome","Expected Outcome")</f>
        <v>Expected Outcome</v>
      </c>
      <c r="N13" s="6">
        <f>ROUND(_xlfn.EXPON.DIST(Table11[[#This Row],[Waiting_Time_Minutes]],$A$62,FALSE),3)</f>
        <v>0.14299999999999999</v>
      </c>
      <c r="O13" s="6" t="str">
        <f>IF(Table11[[#This Row],[Waiting_Prob]]&lt;0.05,"Long Wait","Normal Wait")</f>
        <v>Normal Wait</v>
      </c>
      <c r="P13" s="6">
        <f>Table11[[#This Row],[Call_Arrivals]]/MAX(Table11[Call_Arrivals])</f>
        <v>1</v>
      </c>
      <c r="Q13" s="6">
        <f>Table11[[#This Row],[Defects_Per_Batch]]/MAX(Table11[Defects_Per_Batch])</f>
        <v>0.25</v>
      </c>
      <c r="R13" s="6">
        <f>Table11[[#This Row],[Waiting_Time_Minutes]] / MAX(Table11[Waiting_Time_Minutes])</f>
        <v>9.105098855359002E-2</v>
      </c>
      <c r="S13" s="6">
        <f>ROUND((Table11[[#This Row],[Call_Arrivals_Norm]]*0.4)+(Table11[[#This Row],[Defects_Norm]]*0.3)+(Table11[[#This Row],[Waiting_Time_Norm]]*0.3),2)</f>
        <v>0.5</v>
      </c>
      <c r="T13" t="str">
        <f>IF(Table11[[#This Row],[Risk_Score]]&gt;=0.7,"High Operational Risk",
IF(Table11[[#This Row],[Risk_Score]]&gt;=0.4,"Moderate Operational Risk",
"Normal"))</f>
        <v>Moderate Operational Risk</v>
      </c>
      <c r="U13" s="6">
        <f>ROUND(Table11[[#This Row],[Risk_Score]]-AVERAGE(Table11[Risk_Score]),2)</f>
        <v>0.05</v>
      </c>
      <c r="V13" s="6" t="str">
        <f>IF(Table11[[#This Row],[Relative_Risk_Index]]&gt;0.1,"Above Average Risk",
IF(Table11[[#This Row],[Relative_Risk_Index]]&lt;-0.1,"Below Average Risk",
"Average Risk"))</f>
        <v>Average Risk</v>
      </c>
    </row>
    <row r="14" spans="1:22">
      <c r="A14" s="6">
        <v>9</v>
      </c>
      <c r="B14" s="6">
        <v>30</v>
      </c>
      <c r="C14" s="6">
        <v>5</v>
      </c>
      <c r="D14" s="6">
        <v>15</v>
      </c>
      <c r="E14" s="6">
        <v>1.71</v>
      </c>
      <c r="F14" s="6">
        <v>5</v>
      </c>
      <c r="G14" s="6">
        <v>100</v>
      </c>
      <c r="H14" s="6">
        <f>ROUND(_xlfn.POISSON.DIST(Table11[[#This Row],[Call_Arrivals]],$B$54,FALSE),4)</f>
        <v>6.0900000000000003E-2</v>
      </c>
      <c r="I14" s="6" t="str">
        <f>IF(Table11[[#This Row],[Call_Prob]]&gt;0.05,"Normal","Unusual")</f>
        <v>Normal</v>
      </c>
      <c r="J14" s="6">
        <f>ROUND(_xlfn.POISSON.DIST(Table11[[#This Row],[Defects_Per_Batch]],$B$55,FALSE),3)</f>
        <v>6.6000000000000003E-2</v>
      </c>
      <c r="K14" s="6" t="str">
        <f>IF(Table11[[#This Row],[Defects_Prob]]&lt;0.05,"Unusual","Normal")</f>
        <v>Normal</v>
      </c>
      <c r="L14" s="6">
        <f>ROUND(_xlfn.BINOM.DIST(Table11[[#This Row],[Trial_Successes]],100,$B$59,FALSE),6)</f>
        <v>9.3754000000000004E-2</v>
      </c>
      <c r="M14" s="6" t="str">
        <f>IF(Table11[[#This Row],[Trial_Prob]]&lt;0.05,"Rare Outcome","Expected Outcome")</f>
        <v>Expected Outcome</v>
      </c>
      <c r="N14" s="6">
        <f>ROUND(_xlfn.EXPON.DIST(Table11[[#This Row],[Waiting_Time_Minutes]],$A$62,FALSE),3)</f>
        <v>0.14399999999999999</v>
      </c>
      <c r="O14" s="6" t="str">
        <f>IF(Table11[[#This Row],[Waiting_Prob]]&lt;0.05,"Long Wait","Normal Wait")</f>
        <v>Normal Wait</v>
      </c>
      <c r="P14" s="6">
        <f>Table11[[#This Row],[Call_Arrivals]]/MAX(Table11[Call_Arrivals])</f>
        <v>0.78947368421052633</v>
      </c>
      <c r="Q14" s="6">
        <f>Table11[[#This Row],[Defects_Per_Batch]]/MAX(Table11[Defects_Per_Batch])</f>
        <v>0.625</v>
      </c>
      <c r="R14" s="6">
        <f>Table11[[#This Row],[Waiting_Time_Minutes]] / MAX(Table11[Waiting_Time_Minutes])</f>
        <v>8.8969823100936526E-2</v>
      </c>
      <c r="S14" s="6">
        <f>ROUND((Table11[[#This Row],[Call_Arrivals_Norm]]*0.4)+(Table11[[#This Row],[Defects_Norm]]*0.3)+(Table11[[#This Row],[Waiting_Time_Norm]]*0.3),2)</f>
        <v>0.53</v>
      </c>
      <c r="T14" t="str">
        <f>IF(Table11[[#This Row],[Risk_Score]]&gt;=0.7,"High Operational Risk",
IF(Table11[[#This Row],[Risk_Score]]&gt;=0.4,"Moderate Operational Risk",
"Normal"))</f>
        <v>Moderate Operational Risk</v>
      </c>
      <c r="U14" s="6">
        <f>ROUND(Table11[[#This Row],[Risk_Score]]-AVERAGE(Table11[Risk_Score]),2)</f>
        <v>0.08</v>
      </c>
      <c r="V14" s="6" t="str">
        <f>IF(Table11[[#This Row],[Relative_Risk_Index]]&gt;0.1,"Above Average Risk",
IF(Table11[[#This Row],[Relative_Risk_Index]]&lt;-0.1,"Below Average Risk",
"Average Risk"))</f>
        <v>Average Risk</v>
      </c>
    </row>
    <row r="15" spans="1:22" ht="27.6">
      <c r="A15" s="6">
        <v>10</v>
      </c>
      <c r="B15" s="6">
        <v>23</v>
      </c>
      <c r="C15" s="6">
        <v>0</v>
      </c>
      <c r="D15" s="6">
        <v>8</v>
      </c>
      <c r="E15" s="6">
        <v>2.5499999999999998</v>
      </c>
      <c r="F15" s="6">
        <v>5</v>
      </c>
      <c r="G15" s="6">
        <v>100</v>
      </c>
      <c r="H15" s="6">
        <f>ROUND(_xlfn.POISSON.DIST(Table11[[#This Row],[Call_Arrivals]],$B$54,FALSE),4)</f>
        <v>6.1800000000000001E-2</v>
      </c>
      <c r="I15" s="6" t="str">
        <f>IF(Table11[[#This Row],[Call_Prob]]&gt;0.05,"Normal","Unusual")</f>
        <v>Normal</v>
      </c>
      <c r="J15" s="6">
        <f>ROUND(_xlfn.POISSON.DIST(Table11[[#This Row],[Defects_Per_Batch]],$B$55,FALSE),3)</f>
        <v>8.3000000000000004E-2</v>
      </c>
      <c r="K15" s="6" t="str">
        <f>IF(Table11[[#This Row],[Defects_Prob]]&lt;0.05,"Unusual","Normal")</f>
        <v>Normal</v>
      </c>
      <c r="L15" s="6">
        <f>ROUND(_xlfn.BINOM.DIST(Table11[[#This Row],[Trial_Successes]],100,$B$59,FALSE),6)</f>
        <v>4.1403000000000002E-2</v>
      </c>
      <c r="M15" s="6" t="str">
        <f>IF(Table11[[#This Row],[Trial_Prob]]&lt;0.05,"Rare Outcome","Expected Outcome")</f>
        <v>Rare Outcome</v>
      </c>
      <c r="N15" s="6">
        <f>ROUND(_xlfn.EXPON.DIST(Table11[[#This Row],[Waiting_Time_Minutes]],$A$62,FALSE),3)</f>
        <v>0.121</v>
      </c>
      <c r="O15" s="6" t="str">
        <f>IF(Table11[[#This Row],[Waiting_Prob]]&lt;0.05,"Long Wait","Normal Wait")</f>
        <v>Normal Wait</v>
      </c>
      <c r="P15" s="6">
        <f>Table11[[#This Row],[Call_Arrivals]]/MAX(Table11[Call_Arrivals])</f>
        <v>0.60526315789473684</v>
      </c>
      <c r="Q15" s="6">
        <f>Table11[[#This Row],[Defects_Per_Batch]]/MAX(Table11[Defects_Per_Batch])</f>
        <v>0</v>
      </c>
      <c r="R15" s="6">
        <f>Table11[[#This Row],[Waiting_Time_Minutes]] / MAX(Table11[Waiting_Time_Minutes])</f>
        <v>0.13267429760665972</v>
      </c>
      <c r="S15" s="6">
        <f>ROUND((Table11[[#This Row],[Call_Arrivals_Norm]]*0.4)+(Table11[[#This Row],[Defects_Norm]]*0.3)+(Table11[[#This Row],[Waiting_Time_Norm]]*0.3),2)</f>
        <v>0.28000000000000003</v>
      </c>
      <c r="T15" t="str">
        <f>IF(Table11[[#This Row],[Risk_Score]]&gt;=0.7,"High Operational Risk",
IF(Table11[[#This Row],[Risk_Score]]&gt;=0.4,"Moderate Operational Risk",
"Normal"))</f>
        <v>Normal</v>
      </c>
      <c r="U15" s="6">
        <f>ROUND(Table11[[#This Row],[Risk_Score]]-AVERAGE(Table11[Risk_Score]),2)</f>
        <v>-0.17</v>
      </c>
      <c r="V15" s="6" t="str">
        <f>IF(Table11[[#This Row],[Relative_Risk_Index]]&gt;0.1,"Above Average Risk",
IF(Table11[[#This Row],[Relative_Risk_Index]]&lt;-0.1,"Below Average Risk",
"Average Risk"))</f>
        <v>Below Average Risk</v>
      </c>
    </row>
    <row r="16" spans="1:22" ht="27.6">
      <c r="A16" s="6">
        <v>11</v>
      </c>
      <c r="B16" s="6">
        <v>35</v>
      </c>
      <c r="C16" s="6">
        <v>3</v>
      </c>
      <c r="D16" s="6">
        <v>16</v>
      </c>
      <c r="E16" s="6">
        <v>10.19</v>
      </c>
      <c r="F16" s="6">
        <v>1</v>
      </c>
      <c r="G16" s="6">
        <v>100</v>
      </c>
      <c r="H16" s="6">
        <f>ROUND(_xlfn.POISSON.DIST(Table11[[#This Row],[Call_Arrivals]],$B$54,FALSE),4)</f>
        <v>2.1899999999999999E-2</v>
      </c>
      <c r="I16" s="6" t="str">
        <f>IF(Table11[[#This Row],[Call_Prob]]&gt;0.05,"Normal","Unusual")</f>
        <v>Unusual</v>
      </c>
      <c r="J16" s="6">
        <f>ROUND(_xlfn.POISSON.DIST(Table11[[#This Row],[Defects_Per_Batch]],$B$55,FALSE),3)</f>
        <v>0.21299999999999999</v>
      </c>
      <c r="K16" s="6" t="str">
        <f>IF(Table11[[#This Row],[Defects_Prob]]&lt;0.05,"Unusual","Normal")</f>
        <v>Normal</v>
      </c>
      <c r="L16" s="6">
        <f>ROUND(_xlfn.BINOM.DIST(Table11[[#This Row],[Trial_Successes]],100,$B$59,FALSE),6)</f>
        <v>7.4424000000000004E-2</v>
      </c>
      <c r="M16" s="6" t="str">
        <f>IF(Table11[[#This Row],[Trial_Prob]]&lt;0.05,"Rare Outcome","Expected Outcome")</f>
        <v>Expected Outcome</v>
      </c>
      <c r="N16" s="6">
        <f>ROUND(_xlfn.EXPON.DIST(Table11[[#This Row],[Waiting_Time_Minutes]],$A$62,FALSE),3)</f>
        <v>2.5999999999999999E-2</v>
      </c>
      <c r="O16" s="6" t="str">
        <f>IF(Table11[[#This Row],[Waiting_Prob]]&lt;0.05,"Long Wait","Normal Wait")</f>
        <v>Long Wait</v>
      </c>
      <c r="P16" s="6">
        <f>Table11[[#This Row],[Call_Arrivals]]/MAX(Table11[Call_Arrivals])</f>
        <v>0.92105263157894735</v>
      </c>
      <c r="Q16" s="6">
        <f>Table11[[#This Row],[Defects_Per_Batch]]/MAX(Table11[Defects_Per_Batch])</f>
        <v>0.375</v>
      </c>
      <c r="R16" s="6">
        <f>Table11[[#This Row],[Waiting_Time_Minutes]] / MAX(Table11[Waiting_Time_Minutes])</f>
        <v>0.53017689906347554</v>
      </c>
      <c r="S16" s="6">
        <f>ROUND((Table11[[#This Row],[Call_Arrivals_Norm]]*0.4)+(Table11[[#This Row],[Defects_Norm]]*0.3)+(Table11[[#This Row],[Waiting_Time_Norm]]*0.3),2)</f>
        <v>0.64</v>
      </c>
      <c r="T16" t="str">
        <f>IF(Table11[[#This Row],[Risk_Score]]&gt;=0.7,"High Operational Risk",
IF(Table11[[#This Row],[Risk_Score]]&gt;=0.4,"Moderate Operational Risk",
"Normal"))</f>
        <v>Moderate Operational Risk</v>
      </c>
      <c r="U16" s="6">
        <f>ROUND(Table11[[#This Row],[Risk_Score]]-AVERAGE(Table11[Risk_Score]),2)</f>
        <v>0.19</v>
      </c>
      <c r="V16" s="6" t="str">
        <f>IF(Table11[[#This Row],[Relative_Risk_Index]]&gt;0.1,"Above Average Risk",
IF(Table11[[#This Row],[Relative_Risk_Index]]&lt;-0.1,"Below Average Risk",
"Average Risk"))</f>
        <v>Above Average Risk</v>
      </c>
    </row>
    <row r="17" spans="1:22" ht="27.6">
      <c r="A17" s="6">
        <v>12</v>
      </c>
      <c r="B17" s="6">
        <v>18</v>
      </c>
      <c r="C17" s="6">
        <v>3</v>
      </c>
      <c r="D17" s="6">
        <v>12</v>
      </c>
      <c r="E17" s="6">
        <v>1.05</v>
      </c>
      <c r="F17" s="6">
        <v>3</v>
      </c>
      <c r="G17" s="6">
        <v>100</v>
      </c>
      <c r="H17" s="6">
        <f>ROUND(_xlfn.POISSON.DIST(Table11[[#This Row],[Call_Arrivals]],$B$54,FALSE),4)</f>
        <v>1.78E-2</v>
      </c>
      <c r="I17" s="6" t="str">
        <f>IF(Table11[[#This Row],[Call_Prob]]&gt;0.05,"Normal","Unusual")</f>
        <v>Unusual</v>
      </c>
      <c r="J17" s="6">
        <f>ROUND(_xlfn.POISSON.DIST(Table11[[#This Row],[Defects_Per_Batch]],$B$55,FALSE),3)</f>
        <v>0.21299999999999999</v>
      </c>
      <c r="K17" s="6" t="str">
        <f>IF(Table11[[#This Row],[Defects_Prob]]&lt;0.05,"Unusual","Normal")</f>
        <v>Normal</v>
      </c>
      <c r="L17" s="6">
        <f>ROUND(_xlfn.BINOM.DIST(Table11[[#This Row],[Trial_Successes]],100,$B$59,FALSE),6)</f>
        <v>0.11651400000000001</v>
      </c>
      <c r="M17" s="6" t="str">
        <f>IF(Table11[[#This Row],[Trial_Prob]]&lt;0.05,"Rare Outcome","Expected Outcome")</f>
        <v>Expected Outcome</v>
      </c>
      <c r="N17" s="6">
        <f>ROUND(_xlfn.EXPON.DIST(Table11[[#This Row],[Waiting_Time_Minutes]],$A$62,FALSE),3)</f>
        <v>0.16500000000000001</v>
      </c>
      <c r="O17" s="6" t="str">
        <f>IF(Table11[[#This Row],[Waiting_Prob]]&lt;0.05,"Long Wait","Normal Wait")</f>
        <v>Normal Wait</v>
      </c>
      <c r="P17" s="6">
        <f>Table11[[#This Row],[Call_Arrivals]]/MAX(Table11[Call_Arrivals])</f>
        <v>0.47368421052631576</v>
      </c>
      <c r="Q17" s="6">
        <f>Table11[[#This Row],[Defects_Per_Batch]]/MAX(Table11[Defects_Per_Batch])</f>
        <v>0.375</v>
      </c>
      <c r="R17" s="6">
        <f>Table11[[#This Row],[Waiting_Time_Minutes]] / MAX(Table11[Waiting_Time_Minutes])</f>
        <v>5.4630593132154015E-2</v>
      </c>
      <c r="S17" s="6">
        <f>ROUND((Table11[[#This Row],[Call_Arrivals_Norm]]*0.4)+(Table11[[#This Row],[Defects_Norm]]*0.3)+(Table11[[#This Row],[Waiting_Time_Norm]]*0.3),2)</f>
        <v>0.32</v>
      </c>
      <c r="T17" t="str">
        <f>IF(Table11[[#This Row],[Risk_Score]]&gt;=0.7,"High Operational Risk",
IF(Table11[[#This Row],[Risk_Score]]&gt;=0.4,"Moderate Operational Risk",
"Normal"))</f>
        <v>Normal</v>
      </c>
      <c r="U17" s="6">
        <f>ROUND(Table11[[#This Row],[Risk_Score]]-AVERAGE(Table11[Risk_Score]),2)</f>
        <v>-0.13</v>
      </c>
      <c r="V17" s="6" t="str">
        <f>IF(Table11[[#This Row],[Relative_Risk_Index]]&gt;0.1,"Above Average Risk",
IF(Table11[[#This Row],[Relative_Risk_Index]]&lt;-0.1,"Below Average Risk",
"Average Risk"))</f>
        <v>Below Average Risk</v>
      </c>
    </row>
    <row r="18" spans="1:22" ht="27.6">
      <c r="A18" s="6">
        <v>13</v>
      </c>
      <c r="B18" s="6">
        <v>31</v>
      </c>
      <c r="C18" s="6">
        <v>7</v>
      </c>
      <c r="D18" s="6">
        <v>14</v>
      </c>
      <c r="E18" s="6">
        <v>0.95</v>
      </c>
      <c r="F18" s="6">
        <v>5</v>
      </c>
      <c r="G18" s="6">
        <v>100</v>
      </c>
      <c r="H18" s="6">
        <f>ROUND(_xlfn.POISSON.DIST(Table11[[#This Row],[Call_Arrivals]],$B$54,FALSE),4)</f>
        <v>5.28E-2</v>
      </c>
      <c r="I18" s="6" t="str">
        <f>IF(Table11[[#This Row],[Call_Prob]]&gt;0.05,"Normal","Unusual")</f>
        <v>Normal</v>
      </c>
      <c r="J18" s="6">
        <f>ROUND(_xlfn.POISSON.DIST(Table11[[#This Row],[Defects_Per_Batch]],$B$55,FALSE),3)</f>
        <v>0.01</v>
      </c>
      <c r="K18" s="6" t="str">
        <f>IF(Table11[[#This Row],[Defects_Prob]]&lt;0.05,"Unusual","Normal")</f>
        <v>Unusual</v>
      </c>
      <c r="L18" s="6">
        <f>ROUND(_xlfn.BINOM.DIST(Table11[[#This Row],[Trial_Successes]],100,$B$59,FALSE),6)</f>
        <v>0.109435</v>
      </c>
      <c r="M18" s="6" t="str">
        <f>IF(Table11[[#This Row],[Trial_Prob]]&lt;0.05,"Rare Outcome","Expected Outcome")</f>
        <v>Expected Outcome</v>
      </c>
      <c r="N18" s="6">
        <f>ROUND(_xlfn.EXPON.DIST(Table11[[#This Row],[Waiting_Time_Minutes]],$A$62,FALSE),3)</f>
        <v>0.16800000000000001</v>
      </c>
      <c r="O18" s="6" t="str">
        <f>IF(Table11[[#This Row],[Waiting_Prob]]&lt;0.05,"Long Wait","Normal Wait")</f>
        <v>Normal Wait</v>
      </c>
      <c r="P18" s="6">
        <f>Table11[[#This Row],[Call_Arrivals]]/MAX(Table11[Call_Arrivals])</f>
        <v>0.81578947368421051</v>
      </c>
      <c r="Q18" s="6">
        <f>Table11[[#This Row],[Defects_Per_Batch]]/MAX(Table11[Defects_Per_Batch])</f>
        <v>0.875</v>
      </c>
      <c r="R18" s="6">
        <f>Table11[[#This Row],[Waiting_Time_Minutes]] / MAX(Table11[Waiting_Time_Minutes])</f>
        <v>4.9427679500520294E-2</v>
      </c>
      <c r="S18" s="6">
        <f>ROUND((Table11[[#This Row],[Call_Arrivals_Norm]]*0.4)+(Table11[[#This Row],[Defects_Norm]]*0.3)+(Table11[[#This Row],[Waiting_Time_Norm]]*0.3),2)</f>
        <v>0.6</v>
      </c>
      <c r="T18" t="str">
        <f>IF(Table11[[#This Row],[Risk_Score]]&gt;=0.7,"High Operational Risk",
IF(Table11[[#This Row],[Risk_Score]]&gt;=0.4,"Moderate Operational Risk",
"Normal"))</f>
        <v>Moderate Operational Risk</v>
      </c>
      <c r="U18" s="6">
        <f>ROUND(Table11[[#This Row],[Risk_Score]]-AVERAGE(Table11[Risk_Score]),2)</f>
        <v>0.15</v>
      </c>
      <c r="V18" s="6" t="str">
        <f>IF(Table11[[#This Row],[Relative_Risk_Index]]&gt;0.1,"Above Average Risk",
IF(Table11[[#This Row],[Relative_Risk_Index]]&lt;-0.1,"Below Average Risk",
"Average Risk"))</f>
        <v>Above Average Risk</v>
      </c>
    </row>
    <row r="19" spans="1:22" ht="27.6">
      <c r="A19" s="6">
        <v>14</v>
      </c>
      <c r="B19" s="6">
        <v>24</v>
      </c>
      <c r="C19" s="6">
        <v>1</v>
      </c>
      <c r="D19" s="6">
        <v>11</v>
      </c>
      <c r="E19" s="6">
        <v>1.07</v>
      </c>
      <c r="F19" s="6">
        <v>4</v>
      </c>
      <c r="G19" s="6">
        <v>100</v>
      </c>
      <c r="H19" s="6">
        <f>ROUND(_xlfn.POISSON.DIST(Table11[[#This Row],[Call_Arrivals]],$B$54,FALSE),4)</f>
        <v>6.9199999999999998E-2</v>
      </c>
      <c r="I19" s="6" t="str">
        <f>IF(Table11[[#This Row],[Call_Prob]]&gt;0.05,"Normal","Unusual")</f>
        <v>Normal</v>
      </c>
      <c r="J19" s="6">
        <f>ROUND(_xlfn.POISSON.DIST(Table11[[#This Row],[Defects_Per_Batch]],$B$55,FALSE),3)</f>
        <v>0.20599999999999999</v>
      </c>
      <c r="K19" s="6" t="str">
        <f>IF(Table11[[#This Row],[Defects_Prob]]&lt;0.05,"Unusual","Normal")</f>
        <v>Normal</v>
      </c>
      <c r="L19" s="6">
        <f>ROUND(_xlfn.BINOM.DIST(Table11[[#This Row],[Trial_Successes]],100,$B$59,FALSE),6)</f>
        <v>0.10513400000000001</v>
      </c>
      <c r="M19" s="6" t="str">
        <f>IF(Table11[[#This Row],[Trial_Prob]]&lt;0.05,"Rare Outcome","Expected Outcome")</f>
        <v>Expected Outcome</v>
      </c>
      <c r="N19" s="6">
        <f>ROUND(_xlfn.EXPON.DIST(Table11[[#This Row],[Waiting_Time_Minutes]],$A$62,FALSE),3)</f>
        <v>0.16400000000000001</v>
      </c>
      <c r="O19" s="6" t="str">
        <f>IF(Table11[[#This Row],[Waiting_Prob]]&lt;0.05,"Long Wait","Normal Wait")</f>
        <v>Normal Wait</v>
      </c>
      <c r="P19" s="6">
        <f>Table11[[#This Row],[Call_Arrivals]]/MAX(Table11[Call_Arrivals])</f>
        <v>0.63157894736842102</v>
      </c>
      <c r="Q19" s="6">
        <f>Table11[[#This Row],[Defects_Per_Batch]]/MAX(Table11[Defects_Per_Batch])</f>
        <v>0.125</v>
      </c>
      <c r="R19" s="6">
        <f>Table11[[#This Row],[Waiting_Time_Minutes]] / MAX(Table11[Waiting_Time_Minutes])</f>
        <v>5.5671175858480755E-2</v>
      </c>
      <c r="S19" s="6">
        <f>ROUND((Table11[[#This Row],[Call_Arrivals_Norm]]*0.4)+(Table11[[#This Row],[Defects_Norm]]*0.3)+(Table11[[#This Row],[Waiting_Time_Norm]]*0.3),2)</f>
        <v>0.31</v>
      </c>
      <c r="T19" t="str">
        <f>IF(Table11[[#This Row],[Risk_Score]]&gt;=0.7,"High Operational Risk",
IF(Table11[[#This Row],[Risk_Score]]&gt;=0.4,"Moderate Operational Risk",
"Normal"))</f>
        <v>Normal</v>
      </c>
      <c r="U19" s="6">
        <f>ROUND(Table11[[#This Row],[Risk_Score]]-AVERAGE(Table11[Risk_Score]),2)</f>
        <v>-0.14000000000000001</v>
      </c>
      <c r="V19" s="6" t="str">
        <f>IF(Table11[[#This Row],[Relative_Risk_Index]]&gt;0.1,"Above Average Risk",
IF(Table11[[#This Row],[Relative_Risk_Index]]&lt;-0.1,"Below Average Risk",
"Average Risk"))</f>
        <v>Below Average Risk</v>
      </c>
    </row>
    <row r="20" spans="1:22" ht="27.6">
      <c r="A20" s="6">
        <v>15</v>
      </c>
      <c r="B20" s="6">
        <v>16</v>
      </c>
      <c r="C20" s="6">
        <v>1</v>
      </c>
      <c r="D20" s="6">
        <v>16</v>
      </c>
      <c r="E20" s="6">
        <v>6.33</v>
      </c>
      <c r="F20" s="6">
        <v>2</v>
      </c>
      <c r="G20" s="6">
        <v>100</v>
      </c>
      <c r="H20" s="6">
        <f>ROUND(_xlfn.POISSON.DIST(Table11[[#This Row],[Call_Arrivals]],$B$54,FALSE),4)</f>
        <v>7.6E-3</v>
      </c>
      <c r="I20" s="6" t="str">
        <f>IF(Table11[[#This Row],[Call_Prob]]&gt;0.05,"Normal","Unusual")</f>
        <v>Unusual</v>
      </c>
      <c r="J20" s="6">
        <f>ROUND(_xlfn.POISSON.DIST(Table11[[#This Row],[Defects_Per_Batch]],$B$55,FALSE),3)</f>
        <v>0.20599999999999999</v>
      </c>
      <c r="K20" s="6" t="str">
        <f>IF(Table11[[#This Row],[Defects_Prob]]&lt;0.05,"Unusual","Normal")</f>
        <v>Normal</v>
      </c>
      <c r="L20" s="6">
        <f>ROUND(_xlfn.BINOM.DIST(Table11[[#This Row],[Trial_Successes]],100,$B$59,FALSE),6)</f>
        <v>7.4424000000000004E-2</v>
      </c>
      <c r="M20" s="6" t="str">
        <f>IF(Table11[[#This Row],[Trial_Prob]]&lt;0.05,"Rare Outcome","Expected Outcome")</f>
        <v>Expected Outcome</v>
      </c>
      <c r="N20" s="6">
        <f>ROUND(_xlfn.EXPON.DIST(Table11[[#This Row],[Waiting_Time_Minutes]],$A$62,FALSE),3)</f>
        <v>5.6000000000000001E-2</v>
      </c>
      <c r="O20" s="6" t="str">
        <f>IF(Table11[[#This Row],[Waiting_Prob]]&lt;0.05,"Long Wait","Normal Wait")</f>
        <v>Normal Wait</v>
      </c>
      <c r="P20" s="6">
        <f>Table11[[#This Row],[Call_Arrivals]]/MAX(Table11[Call_Arrivals])</f>
        <v>0.42105263157894735</v>
      </c>
      <c r="Q20" s="6">
        <f>Table11[[#This Row],[Defects_Per_Batch]]/MAX(Table11[Defects_Per_Batch])</f>
        <v>0.125</v>
      </c>
      <c r="R20" s="6">
        <f>Table11[[#This Row],[Waiting_Time_Minutes]] / MAX(Table11[Waiting_Time_Minutes])</f>
        <v>0.32934443288241416</v>
      </c>
      <c r="S20" s="6">
        <f>ROUND((Table11[[#This Row],[Call_Arrivals_Norm]]*0.4)+(Table11[[#This Row],[Defects_Norm]]*0.3)+(Table11[[#This Row],[Waiting_Time_Norm]]*0.3),2)</f>
        <v>0.3</v>
      </c>
      <c r="T20" t="str">
        <f>IF(Table11[[#This Row],[Risk_Score]]&gt;=0.7,"High Operational Risk",
IF(Table11[[#This Row],[Risk_Score]]&gt;=0.4,"Moderate Operational Risk",
"Normal"))</f>
        <v>Normal</v>
      </c>
      <c r="U20" s="6">
        <f>ROUND(Table11[[#This Row],[Risk_Score]]-AVERAGE(Table11[Risk_Score]),2)</f>
        <v>-0.15</v>
      </c>
      <c r="V20" s="6" t="str">
        <f>IF(Table11[[#This Row],[Relative_Risk_Index]]&gt;0.1,"Above Average Risk",
IF(Table11[[#This Row],[Relative_Risk_Index]]&lt;-0.1,"Below Average Risk",
"Average Risk"))</f>
        <v>Below Average Risk</v>
      </c>
    </row>
    <row r="21" spans="1:22">
      <c r="A21" s="6">
        <v>16</v>
      </c>
      <c r="B21" s="6">
        <v>26</v>
      </c>
      <c r="C21" s="6">
        <v>3</v>
      </c>
      <c r="D21" s="6">
        <v>12</v>
      </c>
      <c r="E21" s="6">
        <v>5.52</v>
      </c>
      <c r="F21" s="6">
        <v>3</v>
      </c>
      <c r="G21" s="6">
        <v>100</v>
      </c>
      <c r="H21" s="6">
        <f>ROUND(_xlfn.POISSON.DIST(Table11[[#This Row],[Call_Arrivals]],$B$54,FALSE),4)</f>
        <v>7.6899999999999996E-2</v>
      </c>
      <c r="I21" s="6" t="str">
        <f>IF(Table11[[#This Row],[Call_Prob]]&gt;0.05,"Normal","Unusual")</f>
        <v>Normal</v>
      </c>
      <c r="J21" s="6">
        <f>ROUND(_xlfn.POISSON.DIST(Table11[[#This Row],[Defects_Per_Batch]],$B$55,FALSE),3)</f>
        <v>0.21299999999999999</v>
      </c>
      <c r="K21" s="6" t="str">
        <f>IF(Table11[[#This Row],[Defects_Prob]]&lt;0.05,"Unusual","Normal")</f>
        <v>Normal</v>
      </c>
      <c r="L21" s="6">
        <f>ROUND(_xlfn.BINOM.DIST(Table11[[#This Row],[Trial_Successes]],100,$B$59,FALSE),6)</f>
        <v>0.11651400000000001</v>
      </c>
      <c r="M21" s="6" t="str">
        <f>IF(Table11[[#This Row],[Trial_Prob]]&lt;0.05,"Rare Outcome","Expected Outcome")</f>
        <v>Expected Outcome</v>
      </c>
      <c r="N21" s="6">
        <f>ROUND(_xlfn.EXPON.DIST(Table11[[#This Row],[Waiting_Time_Minutes]],$A$62,FALSE),3)</f>
        <v>6.6000000000000003E-2</v>
      </c>
      <c r="O21" s="6" t="str">
        <f>IF(Table11[[#This Row],[Waiting_Prob]]&lt;0.05,"Long Wait","Normal Wait")</f>
        <v>Normal Wait</v>
      </c>
      <c r="P21" s="6">
        <f>Table11[[#This Row],[Call_Arrivals]]/MAX(Table11[Call_Arrivals])</f>
        <v>0.68421052631578949</v>
      </c>
      <c r="Q21" s="6">
        <f>Table11[[#This Row],[Defects_Per_Batch]]/MAX(Table11[Defects_Per_Batch])</f>
        <v>0.375</v>
      </c>
      <c r="R21" s="6">
        <f>Table11[[#This Row],[Waiting_Time_Minutes]] / MAX(Table11[Waiting_Time_Minutes])</f>
        <v>0.28720083246618106</v>
      </c>
      <c r="S21" s="6">
        <f>ROUND((Table11[[#This Row],[Call_Arrivals_Norm]]*0.4)+(Table11[[#This Row],[Defects_Norm]]*0.3)+(Table11[[#This Row],[Waiting_Time_Norm]]*0.3),2)</f>
        <v>0.47</v>
      </c>
      <c r="T21" t="str">
        <f>IF(Table11[[#This Row],[Risk_Score]]&gt;=0.7,"High Operational Risk",
IF(Table11[[#This Row],[Risk_Score]]&gt;=0.4,"Moderate Operational Risk",
"Normal"))</f>
        <v>Moderate Operational Risk</v>
      </c>
      <c r="U21" s="6">
        <f>ROUND(Table11[[#This Row],[Risk_Score]]-AVERAGE(Table11[Risk_Score]),2)</f>
        <v>0.02</v>
      </c>
      <c r="V21" s="6" t="str">
        <f>IF(Table11[[#This Row],[Relative_Risk_Index]]&gt;0.1,"Above Average Risk",
IF(Table11[[#This Row],[Relative_Risk_Index]]&lt;-0.1,"Below Average Risk",
"Average Risk"))</f>
        <v>Average Risk</v>
      </c>
    </row>
    <row r="22" spans="1:22">
      <c r="A22" s="6">
        <v>17</v>
      </c>
      <c r="B22" s="6">
        <v>33</v>
      </c>
      <c r="C22" s="6">
        <v>0</v>
      </c>
      <c r="D22" s="6">
        <v>13</v>
      </c>
      <c r="E22" s="6">
        <v>0.85</v>
      </c>
      <c r="F22" s="6">
        <v>4</v>
      </c>
      <c r="G22" s="6">
        <v>100</v>
      </c>
      <c r="H22" s="6">
        <f>ROUND(_xlfn.POISSON.DIST(Table11[[#This Row],[Call_Arrivals]],$B$54,FALSE),4)</f>
        <v>3.61E-2</v>
      </c>
      <c r="I22" s="6" t="str">
        <f>IF(Table11[[#This Row],[Call_Prob]]&gt;0.05,"Normal","Unusual")</f>
        <v>Unusual</v>
      </c>
      <c r="J22" s="6">
        <f>ROUND(_xlfn.POISSON.DIST(Table11[[#This Row],[Defects_Per_Batch]],$B$55,FALSE),3)</f>
        <v>8.3000000000000004E-2</v>
      </c>
      <c r="K22" s="6" t="str">
        <f>IF(Table11[[#This Row],[Defects_Prob]]&lt;0.05,"Unusual","Normal")</f>
        <v>Normal</v>
      </c>
      <c r="L22" s="6">
        <f>ROUND(_xlfn.BINOM.DIST(Table11[[#This Row],[Trial_Successes]],100,$B$59,FALSE),6)</f>
        <v>0.117853</v>
      </c>
      <c r="M22" s="6" t="str">
        <f>IF(Table11[[#This Row],[Trial_Prob]]&lt;0.05,"Rare Outcome","Expected Outcome")</f>
        <v>Expected Outcome</v>
      </c>
      <c r="N22" s="6">
        <f>ROUND(_xlfn.EXPON.DIST(Table11[[#This Row],[Waiting_Time_Minutes]],$A$62,FALSE),3)</f>
        <v>0.17199999999999999</v>
      </c>
      <c r="O22" s="6" t="str">
        <f>IF(Table11[[#This Row],[Waiting_Prob]]&lt;0.05,"Long Wait","Normal Wait")</f>
        <v>Normal Wait</v>
      </c>
      <c r="P22" s="6">
        <f>Table11[[#This Row],[Call_Arrivals]]/MAX(Table11[Call_Arrivals])</f>
        <v>0.86842105263157898</v>
      </c>
      <c r="Q22" s="6">
        <f>Table11[[#This Row],[Defects_Per_Batch]]/MAX(Table11[Defects_Per_Batch])</f>
        <v>0</v>
      </c>
      <c r="R22" s="6">
        <f>Table11[[#This Row],[Waiting_Time_Minutes]] / MAX(Table11[Waiting_Time_Minutes])</f>
        <v>4.422476586888658E-2</v>
      </c>
      <c r="S22" s="6">
        <f>ROUND((Table11[[#This Row],[Call_Arrivals_Norm]]*0.4)+(Table11[[#This Row],[Defects_Norm]]*0.3)+(Table11[[#This Row],[Waiting_Time_Norm]]*0.3),2)</f>
        <v>0.36</v>
      </c>
      <c r="T22" t="str">
        <f>IF(Table11[[#This Row],[Risk_Score]]&gt;=0.7,"High Operational Risk",
IF(Table11[[#This Row],[Risk_Score]]&gt;=0.4,"Moderate Operational Risk",
"Normal"))</f>
        <v>Normal</v>
      </c>
      <c r="U22" s="6">
        <f>ROUND(Table11[[#This Row],[Risk_Score]]-AVERAGE(Table11[Risk_Score]),2)</f>
        <v>-0.09</v>
      </c>
      <c r="V22" s="6" t="str">
        <f>IF(Table11[[#This Row],[Relative_Risk_Index]]&gt;0.1,"Above Average Risk",
IF(Table11[[#This Row],[Relative_Risk_Index]]&lt;-0.1,"Below Average Risk",
"Average Risk"))</f>
        <v>Average Risk</v>
      </c>
    </row>
    <row r="23" spans="1:22">
      <c r="A23" s="6">
        <v>18</v>
      </c>
      <c r="B23" s="6">
        <v>21</v>
      </c>
      <c r="C23" s="6">
        <v>4</v>
      </c>
      <c r="D23" s="6">
        <v>12</v>
      </c>
      <c r="E23" s="6">
        <v>0.17</v>
      </c>
      <c r="F23" s="6">
        <v>5</v>
      </c>
      <c r="G23" s="6">
        <v>100</v>
      </c>
      <c r="H23" s="6">
        <f>ROUND(_xlfn.POISSON.DIST(Table11[[#This Row],[Call_Arrivals]],$B$54,FALSE),4)</f>
        <v>4.3299999999999998E-2</v>
      </c>
      <c r="I23" s="6" t="str">
        <f>IF(Table11[[#This Row],[Call_Prob]]&gt;0.05,"Normal","Unusual")</f>
        <v>Unusual</v>
      </c>
      <c r="J23" s="6">
        <f>ROUND(_xlfn.POISSON.DIST(Table11[[#This Row],[Defects_Per_Batch]],$B$55,FALSE),3)</f>
        <v>0.13300000000000001</v>
      </c>
      <c r="K23" s="6" t="str">
        <f>IF(Table11[[#This Row],[Defects_Prob]]&lt;0.05,"Unusual","Normal")</f>
        <v>Normal</v>
      </c>
      <c r="L23" s="6">
        <f>ROUND(_xlfn.BINOM.DIST(Table11[[#This Row],[Trial_Successes]],100,$B$59,FALSE),6)</f>
        <v>0.11651400000000001</v>
      </c>
      <c r="M23" s="6" t="str">
        <f>IF(Table11[[#This Row],[Trial_Prob]]&lt;0.05,"Rare Outcome","Expected Outcome")</f>
        <v>Expected Outcome</v>
      </c>
      <c r="N23" s="6">
        <f>ROUND(_xlfn.EXPON.DIST(Table11[[#This Row],[Waiting_Time_Minutes]],$A$62,FALSE),3)</f>
        <v>0.19700000000000001</v>
      </c>
      <c r="O23" s="6" t="str">
        <f>IF(Table11[[#This Row],[Waiting_Prob]]&lt;0.05,"Long Wait","Normal Wait")</f>
        <v>Normal Wait</v>
      </c>
      <c r="P23" s="6">
        <f>Table11[[#This Row],[Call_Arrivals]]/MAX(Table11[Call_Arrivals])</f>
        <v>0.55263157894736847</v>
      </c>
      <c r="Q23" s="6">
        <f>Table11[[#This Row],[Defects_Per_Batch]]/MAX(Table11[Defects_Per_Batch])</f>
        <v>0.5</v>
      </c>
      <c r="R23" s="6">
        <f>Table11[[#This Row],[Waiting_Time_Minutes]] / MAX(Table11[Waiting_Time_Minutes])</f>
        <v>8.8449531737773163E-3</v>
      </c>
      <c r="S23" s="6">
        <f>ROUND((Table11[[#This Row],[Call_Arrivals_Norm]]*0.4)+(Table11[[#This Row],[Defects_Norm]]*0.3)+(Table11[[#This Row],[Waiting_Time_Norm]]*0.3),2)</f>
        <v>0.37</v>
      </c>
      <c r="T23" t="str">
        <f>IF(Table11[[#This Row],[Risk_Score]]&gt;=0.7,"High Operational Risk",
IF(Table11[[#This Row],[Risk_Score]]&gt;=0.4,"Moderate Operational Risk",
"Normal"))</f>
        <v>Normal</v>
      </c>
      <c r="U23" s="6">
        <f>ROUND(Table11[[#This Row],[Risk_Score]]-AVERAGE(Table11[Risk_Score]),2)</f>
        <v>-0.08</v>
      </c>
      <c r="V23" s="6" t="str">
        <f>IF(Table11[[#This Row],[Relative_Risk_Index]]&gt;0.1,"Above Average Risk",
IF(Table11[[#This Row],[Relative_Risk_Index]]&lt;-0.1,"Below Average Risk",
"Average Risk"))</f>
        <v>Average Risk</v>
      </c>
    </row>
    <row r="24" spans="1:22" ht="27.6">
      <c r="A24" s="6">
        <v>19</v>
      </c>
      <c r="B24" s="6">
        <v>29</v>
      </c>
      <c r="C24" s="6">
        <v>5</v>
      </c>
      <c r="D24" s="6">
        <v>15</v>
      </c>
      <c r="E24" s="6">
        <v>13.71</v>
      </c>
      <c r="F24" s="6">
        <v>3</v>
      </c>
      <c r="G24" s="6">
        <v>100</v>
      </c>
      <c r="H24" s="6">
        <f>ROUND(_xlfn.POISSON.DIST(Table11[[#This Row],[Call_Arrivals]],$B$54,FALSE),4)</f>
        <v>6.8000000000000005E-2</v>
      </c>
      <c r="I24" s="6" t="str">
        <f>IF(Table11[[#This Row],[Call_Prob]]&gt;0.05,"Normal","Unusual")</f>
        <v>Normal</v>
      </c>
      <c r="J24" s="6">
        <f>ROUND(_xlfn.POISSON.DIST(Table11[[#This Row],[Defects_Per_Batch]],$B$55,FALSE),3)</f>
        <v>6.6000000000000003E-2</v>
      </c>
      <c r="K24" s="6" t="str">
        <f>IF(Table11[[#This Row],[Defects_Prob]]&lt;0.05,"Unusual","Normal")</f>
        <v>Normal</v>
      </c>
      <c r="L24" s="6">
        <f>ROUND(_xlfn.BINOM.DIST(Table11[[#This Row],[Trial_Successes]],100,$B$59,FALSE),6)</f>
        <v>9.3754000000000004E-2</v>
      </c>
      <c r="M24" s="6" t="str">
        <f>IF(Table11[[#This Row],[Trial_Prob]]&lt;0.05,"Rare Outcome","Expected Outcome")</f>
        <v>Expected Outcome</v>
      </c>
      <c r="N24" s="6">
        <f>ROUND(_xlfn.EXPON.DIST(Table11[[#This Row],[Waiting_Time_Minutes]],$A$62,FALSE),3)</f>
        <v>1.2E-2</v>
      </c>
      <c r="O24" s="6" t="str">
        <f>IF(Table11[[#This Row],[Waiting_Prob]]&lt;0.05,"Long Wait","Normal Wait")</f>
        <v>Long Wait</v>
      </c>
      <c r="P24" s="6">
        <f>Table11[[#This Row],[Call_Arrivals]]/MAX(Table11[Call_Arrivals])</f>
        <v>0.76315789473684215</v>
      </c>
      <c r="Q24" s="6">
        <f>Table11[[#This Row],[Defects_Per_Batch]]/MAX(Table11[Defects_Per_Batch])</f>
        <v>0.625</v>
      </c>
      <c r="R24" s="6">
        <f>Table11[[#This Row],[Waiting_Time_Minutes]] / MAX(Table11[Waiting_Time_Minutes])</f>
        <v>0.71331945889698245</v>
      </c>
      <c r="S24" s="6">
        <f>ROUND((Table11[[#This Row],[Call_Arrivals_Norm]]*0.4)+(Table11[[#This Row],[Defects_Norm]]*0.3)+(Table11[[#This Row],[Waiting_Time_Norm]]*0.3),2)</f>
        <v>0.71</v>
      </c>
      <c r="T24" t="str">
        <f>IF(Table11[[#This Row],[Risk_Score]]&gt;=0.7,"High Operational Risk",
IF(Table11[[#This Row],[Risk_Score]]&gt;=0.4,"Moderate Operational Risk",
"Normal"))</f>
        <v>High Operational Risk</v>
      </c>
      <c r="U24" s="6">
        <f>ROUND(Table11[[#This Row],[Risk_Score]]-AVERAGE(Table11[Risk_Score]),2)</f>
        <v>0.26</v>
      </c>
      <c r="V24" s="6" t="str">
        <f>IF(Table11[[#This Row],[Relative_Risk_Index]]&gt;0.1,"Above Average Risk",
IF(Table11[[#This Row],[Relative_Risk_Index]]&lt;-0.1,"Below Average Risk",
"Average Risk"))</f>
        <v>Above Average Risk</v>
      </c>
    </row>
    <row r="25" spans="1:22">
      <c r="A25" s="6">
        <v>20</v>
      </c>
      <c r="B25" s="6">
        <v>25</v>
      </c>
      <c r="C25" s="6">
        <v>2</v>
      </c>
      <c r="D25" s="6">
        <v>12</v>
      </c>
      <c r="E25" s="6">
        <v>0.56999999999999995</v>
      </c>
      <c r="F25" s="6">
        <v>1</v>
      </c>
      <c r="G25" s="6">
        <v>100</v>
      </c>
      <c r="H25" s="6">
        <f>ROUND(_xlfn.POISSON.DIST(Table11[[#This Row],[Call_Arrivals]],$B$54,FALSE),4)</f>
        <v>7.4399999999999994E-2</v>
      </c>
      <c r="I25" s="6" t="str">
        <f>IF(Table11[[#This Row],[Call_Prob]]&gt;0.05,"Normal","Unusual")</f>
        <v>Normal</v>
      </c>
      <c r="J25" s="6">
        <f>ROUND(_xlfn.POISSON.DIST(Table11[[#This Row],[Defects_Per_Batch]],$B$55,FALSE),3)</f>
        <v>0.25700000000000001</v>
      </c>
      <c r="K25" s="6" t="str">
        <f>IF(Table11[[#This Row],[Defects_Prob]]&lt;0.05,"Unusual","Normal")</f>
        <v>Normal</v>
      </c>
      <c r="L25" s="6">
        <f>ROUND(_xlfn.BINOM.DIST(Table11[[#This Row],[Trial_Successes]],100,$B$59,FALSE),6)</f>
        <v>0.11651400000000001</v>
      </c>
      <c r="M25" s="6" t="str">
        <f>IF(Table11[[#This Row],[Trial_Prob]]&lt;0.05,"Rare Outcome","Expected Outcome")</f>
        <v>Expected Outcome</v>
      </c>
      <c r="N25" s="6">
        <f>ROUND(_xlfn.EXPON.DIST(Table11[[#This Row],[Waiting_Time_Minutes]],$A$62,FALSE),3)</f>
        <v>0.182</v>
      </c>
      <c r="O25" s="6" t="str">
        <f>IF(Table11[[#This Row],[Waiting_Prob]]&lt;0.05,"Long Wait","Normal Wait")</f>
        <v>Normal Wait</v>
      </c>
      <c r="P25" s="6">
        <f>Table11[[#This Row],[Call_Arrivals]]/MAX(Table11[Call_Arrivals])</f>
        <v>0.65789473684210531</v>
      </c>
      <c r="Q25" s="6">
        <f>Table11[[#This Row],[Defects_Per_Batch]]/MAX(Table11[Defects_Per_Batch])</f>
        <v>0.25</v>
      </c>
      <c r="R25" s="6">
        <f>Table11[[#This Row],[Waiting_Time_Minutes]] / MAX(Table11[Waiting_Time_Minutes])</f>
        <v>2.9656607700312174E-2</v>
      </c>
      <c r="S25" s="6">
        <f>ROUND((Table11[[#This Row],[Call_Arrivals_Norm]]*0.4)+(Table11[[#This Row],[Defects_Norm]]*0.3)+(Table11[[#This Row],[Waiting_Time_Norm]]*0.3),2)</f>
        <v>0.35</v>
      </c>
      <c r="T25" t="str">
        <f>IF(Table11[[#This Row],[Risk_Score]]&gt;=0.7,"High Operational Risk",
IF(Table11[[#This Row],[Risk_Score]]&gt;=0.4,"Moderate Operational Risk",
"Normal"))</f>
        <v>Normal</v>
      </c>
      <c r="U25" s="6">
        <f>ROUND(Table11[[#This Row],[Risk_Score]]-AVERAGE(Table11[Risk_Score]),2)</f>
        <v>-0.1</v>
      </c>
      <c r="V25" s="6" t="str">
        <f>IF(Table11[[#This Row],[Relative_Risk_Index]]&gt;0.1,"Above Average Risk",
IF(Table11[[#This Row],[Relative_Risk_Index]]&lt;-0.1,"Below Average Risk",
"Average Risk"))</f>
        <v>Average Risk</v>
      </c>
    </row>
    <row r="26" spans="1:22">
      <c r="A26" s="6">
        <v>21</v>
      </c>
      <c r="B26" s="6">
        <v>29</v>
      </c>
      <c r="C26" s="6">
        <v>2</v>
      </c>
      <c r="D26" s="6">
        <v>17</v>
      </c>
      <c r="E26" s="6">
        <v>1.99</v>
      </c>
      <c r="F26" s="6">
        <v>4</v>
      </c>
      <c r="G26" s="6">
        <v>100</v>
      </c>
      <c r="H26" s="6">
        <f>ROUND(_xlfn.POISSON.DIST(Table11[[#This Row],[Call_Arrivals]],$B$54,FALSE),4)</f>
        <v>6.8000000000000005E-2</v>
      </c>
      <c r="I26" s="6" t="str">
        <f>IF(Table11[[#This Row],[Call_Prob]]&gt;0.05,"Normal","Unusual")</f>
        <v>Normal</v>
      </c>
      <c r="J26" s="6">
        <f>ROUND(_xlfn.POISSON.DIST(Table11[[#This Row],[Defects_Per_Batch]],$B$55,FALSE),3)</f>
        <v>0.25700000000000001</v>
      </c>
      <c r="K26" s="6" t="str">
        <f>IF(Table11[[#This Row],[Defects_Prob]]&lt;0.05,"Unusual","Normal")</f>
        <v>Normal</v>
      </c>
      <c r="L26" s="6">
        <f>ROUND(_xlfn.BINOM.DIST(Table11[[#This Row],[Trial_Successes]],100,$B$59,FALSE),6)</f>
        <v>5.4949999999999999E-2</v>
      </c>
      <c r="M26" s="6" t="str">
        <f>IF(Table11[[#This Row],[Trial_Prob]]&lt;0.05,"Rare Outcome","Expected Outcome")</f>
        <v>Expected Outcome</v>
      </c>
      <c r="N26" s="6">
        <f>ROUND(_xlfn.EXPON.DIST(Table11[[#This Row],[Waiting_Time_Minutes]],$A$62,FALSE),3)</f>
        <v>0.13600000000000001</v>
      </c>
      <c r="O26" s="6" t="str">
        <f>IF(Table11[[#This Row],[Waiting_Prob]]&lt;0.05,"Long Wait","Normal Wait")</f>
        <v>Normal Wait</v>
      </c>
      <c r="P26" s="6">
        <f>Table11[[#This Row],[Call_Arrivals]]/MAX(Table11[Call_Arrivals])</f>
        <v>0.76315789473684215</v>
      </c>
      <c r="Q26" s="6">
        <f>Table11[[#This Row],[Defects_Per_Batch]]/MAX(Table11[Defects_Per_Batch])</f>
        <v>0.25</v>
      </c>
      <c r="R26" s="6">
        <f>Table11[[#This Row],[Waiting_Time_Minutes]] / MAX(Table11[Waiting_Time_Minutes])</f>
        <v>0.10353798126951093</v>
      </c>
      <c r="S26" s="6">
        <f>ROUND((Table11[[#This Row],[Call_Arrivals_Norm]]*0.4)+(Table11[[#This Row],[Defects_Norm]]*0.3)+(Table11[[#This Row],[Waiting_Time_Norm]]*0.3),2)</f>
        <v>0.41</v>
      </c>
      <c r="T26" t="str">
        <f>IF(Table11[[#This Row],[Risk_Score]]&gt;=0.7,"High Operational Risk",
IF(Table11[[#This Row],[Risk_Score]]&gt;=0.4,"Moderate Operational Risk",
"Normal"))</f>
        <v>Moderate Operational Risk</v>
      </c>
      <c r="U26" s="6">
        <f>ROUND(Table11[[#This Row],[Risk_Score]]-AVERAGE(Table11[Risk_Score]),2)</f>
        <v>-0.04</v>
      </c>
      <c r="V26" s="6" t="str">
        <f>IF(Table11[[#This Row],[Relative_Risk_Index]]&gt;0.1,"Above Average Risk",
IF(Table11[[#This Row],[Relative_Risk_Index]]&lt;-0.1,"Below Average Risk",
"Average Risk"))</f>
        <v>Average Risk</v>
      </c>
    </row>
    <row r="27" spans="1:22">
      <c r="A27" s="6">
        <v>22</v>
      </c>
      <c r="B27" s="6">
        <v>35</v>
      </c>
      <c r="C27" s="6">
        <v>0</v>
      </c>
      <c r="D27" s="6">
        <v>16</v>
      </c>
      <c r="E27" s="6">
        <v>1.65</v>
      </c>
      <c r="F27" s="6">
        <v>1</v>
      </c>
      <c r="G27" s="6">
        <v>100</v>
      </c>
      <c r="H27" s="6">
        <f>ROUND(_xlfn.POISSON.DIST(Table11[[#This Row],[Call_Arrivals]],$B$54,FALSE),4)</f>
        <v>2.1899999999999999E-2</v>
      </c>
      <c r="I27" s="6" t="str">
        <f>IF(Table11[[#This Row],[Call_Prob]]&gt;0.05,"Normal","Unusual")</f>
        <v>Unusual</v>
      </c>
      <c r="J27" s="6">
        <f>ROUND(_xlfn.POISSON.DIST(Table11[[#This Row],[Defects_Per_Batch]],$B$55,FALSE),3)</f>
        <v>8.3000000000000004E-2</v>
      </c>
      <c r="K27" s="6" t="str">
        <f>IF(Table11[[#This Row],[Defects_Prob]]&lt;0.05,"Unusual","Normal")</f>
        <v>Normal</v>
      </c>
      <c r="L27" s="6">
        <f>ROUND(_xlfn.BINOM.DIST(Table11[[#This Row],[Trial_Successes]],100,$B$59,FALSE),6)</f>
        <v>7.4424000000000004E-2</v>
      </c>
      <c r="M27" s="6" t="str">
        <f>IF(Table11[[#This Row],[Trial_Prob]]&lt;0.05,"Rare Outcome","Expected Outcome")</f>
        <v>Expected Outcome</v>
      </c>
      <c r="N27" s="6">
        <f>ROUND(_xlfn.EXPON.DIST(Table11[[#This Row],[Waiting_Time_Minutes]],$A$62,FALSE),3)</f>
        <v>0.14599999999999999</v>
      </c>
      <c r="O27" s="6" t="str">
        <f>IF(Table11[[#This Row],[Waiting_Prob]]&lt;0.05,"Long Wait","Normal Wait")</f>
        <v>Normal Wait</v>
      </c>
      <c r="P27" s="6">
        <f>Table11[[#This Row],[Call_Arrivals]]/MAX(Table11[Call_Arrivals])</f>
        <v>0.92105263157894735</v>
      </c>
      <c r="Q27" s="6">
        <f>Table11[[#This Row],[Defects_Per_Batch]]/MAX(Table11[Defects_Per_Batch])</f>
        <v>0</v>
      </c>
      <c r="R27" s="6">
        <f>Table11[[#This Row],[Waiting_Time_Minutes]] / MAX(Table11[Waiting_Time_Minutes])</f>
        <v>8.5848074921956299E-2</v>
      </c>
      <c r="S27" s="6">
        <f>ROUND((Table11[[#This Row],[Call_Arrivals_Norm]]*0.4)+(Table11[[#This Row],[Defects_Norm]]*0.3)+(Table11[[#This Row],[Waiting_Time_Norm]]*0.3),2)</f>
        <v>0.39</v>
      </c>
      <c r="T27" t="str">
        <f>IF(Table11[[#This Row],[Risk_Score]]&gt;=0.7,"High Operational Risk",
IF(Table11[[#This Row],[Risk_Score]]&gt;=0.4,"Moderate Operational Risk",
"Normal"))</f>
        <v>Normal</v>
      </c>
      <c r="U27" s="6">
        <f>ROUND(Table11[[#This Row],[Risk_Score]]-AVERAGE(Table11[Risk_Score]),2)</f>
        <v>-0.06</v>
      </c>
      <c r="V27" s="6" t="str">
        <f>IF(Table11[[#This Row],[Relative_Risk_Index]]&gt;0.1,"Above Average Risk",
IF(Table11[[#This Row],[Relative_Risk_Index]]&lt;-0.1,"Below Average Risk",
"Average Risk"))</f>
        <v>Average Risk</v>
      </c>
    </row>
    <row r="28" spans="1:22" ht="27.6">
      <c r="A28" s="6">
        <v>23</v>
      </c>
      <c r="B28" s="6">
        <v>27</v>
      </c>
      <c r="C28" s="6">
        <v>0</v>
      </c>
      <c r="D28" s="6">
        <v>15</v>
      </c>
      <c r="E28" s="6">
        <v>2.58</v>
      </c>
      <c r="F28" s="6">
        <v>4</v>
      </c>
      <c r="G28" s="6">
        <v>100</v>
      </c>
      <c r="H28" s="6">
        <f>ROUND(_xlfn.POISSON.DIST(Table11[[#This Row],[Call_Arrivals]],$B$54,FALSE),4)</f>
        <v>7.6499999999999999E-2</v>
      </c>
      <c r="I28" s="6" t="str">
        <f>IF(Table11[[#This Row],[Call_Prob]]&gt;0.05,"Normal","Unusual")</f>
        <v>Normal</v>
      </c>
      <c r="J28" s="6">
        <f>ROUND(_xlfn.POISSON.DIST(Table11[[#This Row],[Defects_Per_Batch]],$B$55,FALSE),3)</f>
        <v>8.3000000000000004E-2</v>
      </c>
      <c r="K28" s="6" t="str">
        <f>IF(Table11[[#This Row],[Defects_Prob]]&lt;0.05,"Unusual","Normal")</f>
        <v>Normal</v>
      </c>
      <c r="L28" s="6">
        <f>ROUND(_xlfn.BINOM.DIST(Table11[[#This Row],[Trial_Successes]],100,$B$59,FALSE),6)</f>
        <v>9.3754000000000004E-2</v>
      </c>
      <c r="M28" s="6" t="str">
        <f>IF(Table11[[#This Row],[Trial_Prob]]&lt;0.05,"Rare Outcome","Expected Outcome")</f>
        <v>Expected Outcome</v>
      </c>
      <c r="N28" s="6">
        <f>ROUND(_xlfn.EXPON.DIST(Table11[[#This Row],[Waiting_Time_Minutes]],$A$62,FALSE),3)</f>
        <v>0.121</v>
      </c>
      <c r="O28" s="6" t="str">
        <f>IF(Table11[[#This Row],[Waiting_Prob]]&lt;0.05,"Long Wait","Normal Wait")</f>
        <v>Normal Wait</v>
      </c>
      <c r="P28" s="6">
        <f>Table11[[#This Row],[Call_Arrivals]]/MAX(Table11[Call_Arrivals])</f>
        <v>0.71052631578947367</v>
      </c>
      <c r="Q28" s="6">
        <f>Table11[[#This Row],[Defects_Per_Batch]]/MAX(Table11[Defects_Per_Batch])</f>
        <v>0</v>
      </c>
      <c r="R28" s="6">
        <f>Table11[[#This Row],[Waiting_Time_Minutes]] / MAX(Table11[Waiting_Time_Minutes])</f>
        <v>0.13423517169614985</v>
      </c>
      <c r="S28" s="6">
        <f>ROUND((Table11[[#This Row],[Call_Arrivals_Norm]]*0.4)+(Table11[[#This Row],[Defects_Norm]]*0.3)+(Table11[[#This Row],[Waiting_Time_Norm]]*0.3),2)</f>
        <v>0.32</v>
      </c>
      <c r="T28" t="str">
        <f>IF(Table11[[#This Row],[Risk_Score]]&gt;=0.7,"High Operational Risk",
IF(Table11[[#This Row],[Risk_Score]]&gt;=0.4,"Moderate Operational Risk",
"Normal"))</f>
        <v>Normal</v>
      </c>
      <c r="U28" s="6">
        <f>ROUND(Table11[[#This Row],[Risk_Score]]-AVERAGE(Table11[Risk_Score]),2)</f>
        <v>-0.13</v>
      </c>
      <c r="V28" s="6" t="str">
        <f>IF(Table11[[#This Row],[Relative_Risk_Index]]&gt;0.1,"Above Average Risk",
IF(Table11[[#This Row],[Relative_Risk_Index]]&lt;-0.1,"Below Average Risk",
"Average Risk"))</f>
        <v>Below Average Risk</v>
      </c>
    </row>
    <row r="29" spans="1:22" ht="27.6">
      <c r="A29" s="6">
        <v>24</v>
      </c>
      <c r="B29" s="6">
        <v>27</v>
      </c>
      <c r="C29" s="6">
        <v>0</v>
      </c>
      <c r="D29" s="6">
        <v>13</v>
      </c>
      <c r="E29" s="6">
        <v>2.96</v>
      </c>
      <c r="F29" s="6">
        <v>3</v>
      </c>
      <c r="G29" s="6">
        <v>100</v>
      </c>
      <c r="H29" s="6">
        <f>ROUND(_xlfn.POISSON.DIST(Table11[[#This Row],[Call_Arrivals]],$B$54,FALSE),4)</f>
        <v>7.6499999999999999E-2</v>
      </c>
      <c r="I29" s="6" t="str">
        <f>IF(Table11[[#This Row],[Call_Prob]]&gt;0.05,"Normal","Unusual")</f>
        <v>Normal</v>
      </c>
      <c r="J29" s="6">
        <f>ROUND(_xlfn.POISSON.DIST(Table11[[#This Row],[Defects_Per_Batch]],$B$55,FALSE),3)</f>
        <v>8.3000000000000004E-2</v>
      </c>
      <c r="K29" s="6" t="str">
        <f>IF(Table11[[#This Row],[Defects_Prob]]&lt;0.05,"Unusual","Normal")</f>
        <v>Normal</v>
      </c>
      <c r="L29" s="6">
        <f>ROUND(_xlfn.BINOM.DIST(Table11[[#This Row],[Trial_Successes]],100,$B$59,FALSE),6)</f>
        <v>0.117853</v>
      </c>
      <c r="M29" s="6" t="str">
        <f>IF(Table11[[#This Row],[Trial_Prob]]&lt;0.05,"Rare Outcome","Expected Outcome")</f>
        <v>Expected Outcome</v>
      </c>
      <c r="N29" s="6">
        <f>ROUND(_xlfn.EXPON.DIST(Table11[[#This Row],[Waiting_Time_Minutes]],$A$62,FALSE),3)</f>
        <v>0.112</v>
      </c>
      <c r="O29" s="6" t="str">
        <f>IF(Table11[[#This Row],[Waiting_Prob]]&lt;0.05,"Long Wait","Normal Wait")</f>
        <v>Normal Wait</v>
      </c>
      <c r="P29" s="6">
        <f>Table11[[#This Row],[Call_Arrivals]]/MAX(Table11[Call_Arrivals])</f>
        <v>0.71052631578947367</v>
      </c>
      <c r="Q29" s="6">
        <f>Table11[[#This Row],[Defects_Per_Batch]]/MAX(Table11[Defects_Per_Batch])</f>
        <v>0</v>
      </c>
      <c r="R29" s="6">
        <f>Table11[[#This Row],[Waiting_Time_Minutes]] / MAX(Table11[Waiting_Time_Minutes])</f>
        <v>0.15400624349635797</v>
      </c>
      <c r="S29" s="6">
        <f>ROUND((Table11[[#This Row],[Call_Arrivals_Norm]]*0.4)+(Table11[[#This Row],[Defects_Norm]]*0.3)+(Table11[[#This Row],[Waiting_Time_Norm]]*0.3),2)</f>
        <v>0.33</v>
      </c>
      <c r="T29" t="str">
        <f>IF(Table11[[#This Row],[Risk_Score]]&gt;=0.7,"High Operational Risk",
IF(Table11[[#This Row],[Risk_Score]]&gt;=0.4,"Moderate Operational Risk",
"Normal"))</f>
        <v>Normal</v>
      </c>
      <c r="U29" s="6">
        <f>ROUND(Table11[[#This Row],[Risk_Score]]-AVERAGE(Table11[Risk_Score]),2)</f>
        <v>-0.12</v>
      </c>
      <c r="V29" s="6" t="str">
        <f>IF(Table11[[#This Row],[Relative_Risk_Index]]&gt;0.1,"Above Average Risk",
IF(Table11[[#This Row],[Relative_Risk_Index]]&lt;-0.1,"Below Average Risk",
"Average Risk"))</f>
        <v>Below Average Risk</v>
      </c>
    </row>
    <row r="30" spans="1:22" ht="27.6">
      <c r="A30" s="6">
        <v>25</v>
      </c>
      <c r="B30" s="6">
        <v>16</v>
      </c>
      <c r="C30" s="6">
        <v>2</v>
      </c>
      <c r="D30" s="6">
        <v>12</v>
      </c>
      <c r="E30" s="6">
        <v>5.32</v>
      </c>
      <c r="F30" s="6">
        <v>2</v>
      </c>
      <c r="G30" s="6">
        <v>100</v>
      </c>
      <c r="H30" s="6">
        <f>ROUND(_xlfn.POISSON.DIST(Table11[[#This Row],[Call_Arrivals]],$B$54,FALSE),4)</f>
        <v>7.6E-3</v>
      </c>
      <c r="I30" s="6" t="str">
        <f>IF(Table11[[#This Row],[Call_Prob]]&gt;0.05,"Normal","Unusual")</f>
        <v>Unusual</v>
      </c>
      <c r="J30" s="6">
        <f>ROUND(_xlfn.POISSON.DIST(Table11[[#This Row],[Defects_Per_Batch]],$B$55,FALSE),3)</f>
        <v>0.25700000000000001</v>
      </c>
      <c r="K30" s="6" t="str">
        <f>IF(Table11[[#This Row],[Defects_Prob]]&lt;0.05,"Unusual","Normal")</f>
        <v>Normal</v>
      </c>
      <c r="L30" s="6">
        <f>ROUND(_xlfn.BINOM.DIST(Table11[[#This Row],[Trial_Successes]],100,$B$59,FALSE),6)</f>
        <v>0.11651400000000001</v>
      </c>
      <c r="M30" s="6" t="str">
        <f>IF(Table11[[#This Row],[Trial_Prob]]&lt;0.05,"Rare Outcome","Expected Outcome")</f>
        <v>Expected Outcome</v>
      </c>
      <c r="N30" s="6">
        <f>ROUND(_xlfn.EXPON.DIST(Table11[[#This Row],[Waiting_Time_Minutes]],$A$62,FALSE),3)</f>
        <v>6.9000000000000006E-2</v>
      </c>
      <c r="O30" s="6" t="str">
        <f>IF(Table11[[#This Row],[Waiting_Prob]]&lt;0.05,"Long Wait","Normal Wait")</f>
        <v>Normal Wait</v>
      </c>
      <c r="P30" s="6">
        <f>Table11[[#This Row],[Call_Arrivals]]/MAX(Table11[Call_Arrivals])</f>
        <v>0.42105263157894735</v>
      </c>
      <c r="Q30" s="6">
        <f>Table11[[#This Row],[Defects_Per_Batch]]/MAX(Table11[Defects_Per_Batch])</f>
        <v>0.25</v>
      </c>
      <c r="R30" s="6">
        <f>Table11[[#This Row],[Waiting_Time_Minutes]] / MAX(Table11[Waiting_Time_Minutes])</f>
        <v>0.27679500520291367</v>
      </c>
      <c r="S30" s="6">
        <f>ROUND((Table11[[#This Row],[Call_Arrivals_Norm]]*0.4)+(Table11[[#This Row],[Defects_Norm]]*0.3)+(Table11[[#This Row],[Waiting_Time_Norm]]*0.3),2)</f>
        <v>0.33</v>
      </c>
      <c r="T30" t="str">
        <f>IF(Table11[[#This Row],[Risk_Score]]&gt;=0.7,"High Operational Risk",
IF(Table11[[#This Row],[Risk_Score]]&gt;=0.4,"Moderate Operational Risk",
"Normal"))</f>
        <v>Normal</v>
      </c>
      <c r="U30" s="6">
        <f>ROUND(Table11[[#This Row],[Risk_Score]]-AVERAGE(Table11[Risk_Score]),2)</f>
        <v>-0.12</v>
      </c>
      <c r="V30" s="6" t="str">
        <f>IF(Table11[[#This Row],[Relative_Risk_Index]]&gt;0.1,"Above Average Risk",
IF(Table11[[#This Row],[Relative_Risk_Index]]&lt;-0.1,"Below Average Risk",
"Average Risk"))</f>
        <v>Below Average Risk</v>
      </c>
    </row>
    <row r="31" spans="1:22" ht="27.6">
      <c r="A31" s="6">
        <v>26</v>
      </c>
      <c r="B31" s="6">
        <v>38</v>
      </c>
      <c r="C31" s="6">
        <v>3</v>
      </c>
      <c r="D31" s="6">
        <v>18</v>
      </c>
      <c r="E31" s="6">
        <v>2.92</v>
      </c>
      <c r="F31" s="6">
        <v>5</v>
      </c>
      <c r="G31" s="6">
        <v>100</v>
      </c>
      <c r="H31" s="6">
        <f>ROUND(_xlfn.POISSON.DIST(Table11[[#This Row],[Call_Arrivals]],$B$54,FALSE),4)</f>
        <v>8.3999999999999995E-3</v>
      </c>
      <c r="I31" s="6" t="str">
        <f>IF(Table11[[#This Row],[Call_Prob]]&gt;0.05,"Normal","Unusual")</f>
        <v>Unusual</v>
      </c>
      <c r="J31" s="6">
        <f>ROUND(_xlfn.POISSON.DIST(Table11[[#This Row],[Defects_Per_Batch]],$B$55,FALSE),3)</f>
        <v>0.21299999999999999</v>
      </c>
      <c r="K31" s="6" t="str">
        <f>IF(Table11[[#This Row],[Defects_Prob]]&lt;0.05,"Unusual","Normal")</f>
        <v>Normal</v>
      </c>
      <c r="L31" s="6">
        <f>ROUND(_xlfn.BINOM.DIST(Table11[[#This Row],[Trial_Successes]],100,$B$59,FALSE),6)</f>
        <v>3.7860999999999999E-2</v>
      </c>
      <c r="M31" s="6" t="str">
        <f>IF(Table11[[#This Row],[Trial_Prob]]&lt;0.05,"Rare Outcome","Expected Outcome")</f>
        <v>Rare Outcome</v>
      </c>
      <c r="N31" s="6">
        <f>ROUND(_xlfn.EXPON.DIST(Table11[[#This Row],[Waiting_Time_Minutes]],$A$62,FALSE),3)</f>
        <v>0.112</v>
      </c>
      <c r="O31" s="6" t="str">
        <f>IF(Table11[[#This Row],[Waiting_Prob]]&lt;0.05,"Long Wait","Normal Wait")</f>
        <v>Normal Wait</v>
      </c>
      <c r="P31" s="6">
        <f>Table11[[#This Row],[Call_Arrivals]]/MAX(Table11[Call_Arrivals])</f>
        <v>1</v>
      </c>
      <c r="Q31" s="6">
        <f>Table11[[#This Row],[Defects_Per_Batch]]/MAX(Table11[Defects_Per_Batch])</f>
        <v>0.375</v>
      </c>
      <c r="R31" s="6">
        <f>Table11[[#This Row],[Waiting_Time_Minutes]] / MAX(Table11[Waiting_Time_Minutes])</f>
        <v>0.15192507804370448</v>
      </c>
      <c r="S31" s="6">
        <f>ROUND((Table11[[#This Row],[Call_Arrivals_Norm]]*0.4)+(Table11[[#This Row],[Defects_Norm]]*0.3)+(Table11[[#This Row],[Waiting_Time_Norm]]*0.3),2)</f>
        <v>0.56000000000000005</v>
      </c>
      <c r="T31" t="str">
        <f>IF(Table11[[#This Row],[Risk_Score]]&gt;=0.7,"High Operational Risk",
IF(Table11[[#This Row],[Risk_Score]]&gt;=0.4,"Moderate Operational Risk",
"Normal"))</f>
        <v>Moderate Operational Risk</v>
      </c>
      <c r="U31" s="6">
        <f>ROUND(Table11[[#This Row],[Risk_Score]]-AVERAGE(Table11[Risk_Score]),2)</f>
        <v>0.11</v>
      </c>
      <c r="V31" s="6" t="str">
        <f>IF(Table11[[#This Row],[Relative_Risk_Index]]&gt;0.1,"Above Average Risk",
IF(Table11[[#This Row],[Relative_Risk_Index]]&lt;-0.1,"Below Average Risk",
"Average Risk"))</f>
        <v>Above Average Risk</v>
      </c>
    </row>
    <row r="32" spans="1:22" ht="27.6">
      <c r="A32" s="6">
        <v>27</v>
      </c>
      <c r="B32" s="6">
        <v>28</v>
      </c>
      <c r="C32" s="6">
        <v>4</v>
      </c>
      <c r="D32" s="6">
        <v>11</v>
      </c>
      <c r="E32" s="6">
        <v>7.93</v>
      </c>
      <c r="F32" s="6">
        <v>1</v>
      </c>
      <c r="G32" s="6">
        <v>100</v>
      </c>
      <c r="H32" s="6">
        <f>ROUND(_xlfn.POISSON.DIST(Table11[[#This Row],[Call_Arrivals]],$B$54,FALSE),4)</f>
        <v>7.3400000000000007E-2</v>
      </c>
      <c r="I32" s="6" t="str">
        <f>IF(Table11[[#This Row],[Call_Prob]]&gt;0.05,"Normal","Unusual")</f>
        <v>Normal</v>
      </c>
      <c r="J32" s="6">
        <f>ROUND(_xlfn.POISSON.DIST(Table11[[#This Row],[Defects_Per_Batch]],$B$55,FALSE),3)</f>
        <v>0.13300000000000001</v>
      </c>
      <c r="K32" s="6" t="str">
        <f>IF(Table11[[#This Row],[Defects_Prob]]&lt;0.05,"Unusual","Normal")</f>
        <v>Normal</v>
      </c>
      <c r="L32" s="6">
        <f>ROUND(_xlfn.BINOM.DIST(Table11[[#This Row],[Trial_Successes]],100,$B$59,FALSE),6)</f>
        <v>0.10513400000000001</v>
      </c>
      <c r="M32" s="6" t="str">
        <f>IF(Table11[[#This Row],[Trial_Prob]]&lt;0.05,"Rare Outcome","Expected Outcome")</f>
        <v>Expected Outcome</v>
      </c>
      <c r="N32" s="6">
        <f>ROUND(_xlfn.EXPON.DIST(Table11[[#This Row],[Waiting_Time_Minutes]],$A$62,FALSE),3)</f>
        <v>0.04</v>
      </c>
      <c r="O32" s="6" t="str">
        <f>IF(Table11[[#This Row],[Waiting_Prob]]&lt;0.05,"Long Wait","Normal Wait")</f>
        <v>Long Wait</v>
      </c>
      <c r="P32" s="6">
        <f>Table11[[#This Row],[Call_Arrivals]]/MAX(Table11[Call_Arrivals])</f>
        <v>0.73684210526315785</v>
      </c>
      <c r="Q32" s="6">
        <f>Table11[[#This Row],[Defects_Per_Batch]]/MAX(Table11[Defects_Per_Batch])</f>
        <v>0.5</v>
      </c>
      <c r="R32" s="6">
        <f>Table11[[#This Row],[Waiting_Time_Minutes]] / MAX(Table11[Waiting_Time_Minutes])</f>
        <v>0.41259105098855359</v>
      </c>
      <c r="S32" s="6">
        <f>ROUND((Table11[[#This Row],[Call_Arrivals_Norm]]*0.4)+(Table11[[#This Row],[Defects_Norm]]*0.3)+(Table11[[#This Row],[Waiting_Time_Norm]]*0.3),2)</f>
        <v>0.56999999999999995</v>
      </c>
      <c r="T32" t="str">
        <f>IF(Table11[[#This Row],[Risk_Score]]&gt;=0.7,"High Operational Risk",
IF(Table11[[#This Row],[Risk_Score]]&gt;=0.4,"Moderate Operational Risk",
"Normal"))</f>
        <v>Moderate Operational Risk</v>
      </c>
      <c r="U32" s="6">
        <f>ROUND(Table11[[#This Row],[Risk_Score]]-AVERAGE(Table11[Risk_Score]),2)</f>
        <v>0.12</v>
      </c>
      <c r="V32" s="6" t="str">
        <f>IF(Table11[[#This Row],[Relative_Risk_Index]]&gt;0.1,"Above Average Risk",
IF(Table11[[#This Row],[Relative_Risk_Index]]&lt;-0.1,"Below Average Risk",
"Average Risk"))</f>
        <v>Above Average Risk</v>
      </c>
    </row>
    <row r="33" spans="1:22">
      <c r="A33" s="6">
        <v>28</v>
      </c>
      <c r="B33" s="6">
        <v>26</v>
      </c>
      <c r="C33" s="6">
        <v>6</v>
      </c>
      <c r="D33" s="6">
        <v>11</v>
      </c>
      <c r="E33" s="6">
        <v>2.99</v>
      </c>
      <c r="F33" s="6">
        <v>3</v>
      </c>
      <c r="G33" s="6">
        <v>100</v>
      </c>
      <c r="H33" s="6">
        <f>ROUND(_xlfn.POISSON.DIST(Table11[[#This Row],[Call_Arrivals]],$B$54,FALSE),4)</f>
        <v>7.6899999999999996E-2</v>
      </c>
      <c r="I33" s="6" t="str">
        <f>IF(Table11[[#This Row],[Call_Prob]]&gt;0.05,"Normal","Unusual")</f>
        <v>Normal</v>
      </c>
      <c r="J33" s="6">
        <f>ROUND(_xlfn.POISSON.DIST(Table11[[#This Row],[Defects_Per_Batch]],$B$55,FALSE),3)</f>
        <v>2.7E-2</v>
      </c>
      <c r="K33" s="6" t="str">
        <f>IF(Table11[[#This Row],[Defects_Prob]]&lt;0.05,"Unusual","Normal")</f>
        <v>Unusual</v>
      </c>
      <c r="L33" s="6">
        <f>ROUND(_xlfn.BINOM.DIST(Table11[[#This Row],[Trial_Successes]],100,$B$59,FALSE),6)</f>
        <v>0.10513400000000001</v>
      </c>
      <c r="M33" s="6" t="str">
        <f>IF(Table11[[#This Row],[Trial_Prob]]&lt;0.05,"Rare Outcome","Expected Outcome")</f>
        <v>Expected Outcome</v>
      </c>
      <c r="N33" s="6">
        <f>ROUND(_xlfn.EXPON.DIST(Table11[[#This Row],[Waiting_Time_Minutes]],$A$62,FALSE),3)</f>
        <v>0.111</v>
      </c>
      <c r="O33" s="6" t="str">
        <f>IF(Table11[[#This Row],[Waiting_Prob]]&lt;0.05,"Long Wait","Normal Wait")</f>
        <v>Normal Wait</v>
      </c>
      <c r="P33" s="6">
        <f>Table11[[#This Row],[Call_Arrivals]]/MAX(Table11[Call_Arrivals])</f>
        <v>0.68421052631578949</v>
      </c>
      <c r="Q33" s="6">
        <f>Table11[[#This Row],[Defects_Per_Batch]]/MAX(Table11[Defects_Per_Batch])</f>
        <v>0.75</v>
      </c>
      <c r="R33" s="6">
        <f>Table11[[#This Row],[Waiting_Time_Minutes]] / MAX(Table11[Waiting_Time_Minutes])</f>
        <v>0.1555671175858481</v>
      </c>
      <c r="S33" s="6">
        <f>ROUND((Table11[[#This Row],[Call_Arrivals_Norm]]*0.4)+(Table11[[#This Row],[Defects_Norm]]*0.3)+(Table11[[#This Row],[Waiting_Time_Norm]]*0.3),2)</f>
        <v>0.55000000000000004</v>
      </c>
      <c r="T33" t="str">
        <f>IF(Table11[[#This Row],[Risk_Score]]&gt;=0.7,"High Operational Risk",
IF(Table11[[#This Row],[Risk_Score]]&gt;=0.4,"Moderate Operational Risk",
"Normal"))</f>
        <v>Moderate Operational Risk</v>
      </c>
      <c r="U33" s="6">
        <f>ROUND(Table11[[#This Row],[Risk_Score]]-AVERAGE(Table11[Risk_Score]),2)</f>
        <v>0.1</v>
      </c>
      <c r="V33" s="6" t="str">
        <f>IF(Table11[[#This Row],[Relative_Risk_Index]]&gt;0.1,"Above Average Risk",
IF(Table11[[#This Row],[Relative_Risk_Index]]&lt;-0.1,"Below Average Risk",
"Average Risk"))</f>
        <v>Average Risk</v>
      </c>
    </row>
    <row r="34" spans="1:22">
      <c r="A34" s="6">
        <v>29</v>
      </c>
      <c r="B34" s="6">
        <v>26</v>
      </c>
      <c r="C34" s="6">
        <v>3</v>
      </c>
      <c r="D34" s="6">
        <v>15</v>
      </c>
      <c r="E34" s="6">
        <v>10.26</v>
      </c>
      <c r="F34" s="6">
        <v>2</v>
      </c>
      <c r="G34" s="6">
        <v>100</v>
      </c>
      <c r="H34" s="6">
        <f>ROUND(_xlfn.POISSON.DIST(Table11[[#This Row],[Call_Arrivals]],$B$54,FALSE),4)</f>
        <v>7.6899999999999996E-2</v>
      </c>
      <c r="I34" s="6" t="str">
        <f>IF(Table11[[#This Row],[Call_Prob]]&gt;0.05,"Normal","Unusual")</f>
        <v>Normal</v>
      </c>
      <c r="J34" s="6">
        <f>ROUND(_xlfn.POISSON.DIST(Table11[[#This Row],[Defects_Per_Batch]],$B$55,FALSE),3)</f>
        <v>0.21299999999999999</v>
      </c>
      <c r="K34" s="6" t="str">
        <f>IF(Table11[[#This Row],[Defects_Prob]]&lt;0.05,"Unusual","Normal")</f>
        <v>Normal</v>
      </c>
      <c r="L34" s="6">
        <f>ROUND(_xlfn.BINOM.DIST(Table11[[#This Row],[Trial_Successes]],100,$B$59,FALSE),6)</f>
        <v>9.3754000000000004E-2</v>
      </c>
      <c r="M34" s="6" t="str">
        <f>IF(Table11[[#This Row],[Trial_Prob]]&lt;0.05,"Rare Outcome","Expected Outcome")</f>
        <v>Expected Outcome</v>
      </c>
      <c r="N34" s="6">
        <f>ROUND(_xlfn.EXPON.DIST(Table11[[#This Row],[Waiting_Time_Minutes]],$A$62,FALSE),3)</f>
        <v>2.5000000000000001E-2</v>
      </c>
      <c r="O34" s="6" t="str">
        <f>IF(Table11[[#This Row],[Waiting_Prob]]&lt;0.05,"Long Wait","Normal Wait")</f>
        <v>Long Wait</v>
      </c>
      <c r="P34" s="6">
        <f>Table11[[#This Row],[Call_Arrivals]]/MAX(Table11[Call_Arrivals])</f>
        <v>0.68421052631578949</v>
      </c>
      <c r="Q34" s="6">
        <f>Table11[[#This Row],[Defects_Per_Batch]]/MAX(Table11[Defects_Per_Batch])</f>
        <v>0.375</v>
      </c>
      <c r="R34" s="6">
        <f>Table11[[#This Row],[Waiting_Time_Minutes]] / MAX(Table11[Waiting_Time_Minutes])</f>
        <v>0.53381893860561913</v>
      </c>
      <c r="S34" s="6">
        <f>ROUND((Table11[[#This Row],[Call_Arrivals_Norm]]*0.4)+(Table11[[#This Row],[Defects_Norm]]*0.3)+(Table11[[#This Row],[Waiting_Time_Norm]]*0.3),2)</f>
        <v>0.55000000000000004</v>
      </c>
      <c r="T34" t="str">
        <f>IF(Table11[[#This Row],[Risk_Score]]&gt;=0.7,"High Operational Risk",
IF(Table11[[#This Row],[Risk_Score]]&gt;=0.4,"Moderate Operational Risk",
"Normal"))</f>
        <v>Moderate Operational Risk</v>
      </c>
      <c r="U34" s="6">
        <f>ROUND(Table11[[#This Row],[Risk_Score]]-AVERAGE(Table11[Risk_Score]),2)</f>
        <v>0.1</v>
      </c>
      <c r="V34" s="6" t="str">
        <f>IF(Table11[[#This Row],[Relative_Risk_Index]]&gt;0.1,"Above Average Risk",
IF(Table11[[#This Row],[Relative_Risk_Index]]&lt;-0.1,"Below Average Risk",
"Average Risk"))</f>
        <v>Average Risk</v>
      </c>
    </row>
    <row r="35" spans="1:22" ht="27.6">
      <c r="A35" s="6">
        <v>30</v>
      </c>
      <c r="B35" s="6">
        <v>23</v>
      </c>
      <c r="C35" s="6">
        <v>5</v>
      </c>
      <c r="D35" s="6">
        <v>14</v>
      </c>
      <c r="E35" s="6">
        <v>11.61</v>
      </c>
      <c r="F35" s="6">
        <v>2</v>
      </c>
      <c r="G35" s="6">
        <v>100</v>
      </c>
      <c r="H35" s="6">
        <f>ROUND(_xlfn.POISSON.DIST(Table11[[#This Row],[Call_Arrivals]],$B$54,FALSE),4)</f>
        <v>6.1800000000000001E-2</v>
      </c>
      <c r="I35" s="6" t="str">
        <f>IF(Table11[[#This Row],[Call_Prob]]&gt;0.05,"Normal","Unusual")</f>
        <v>Normal</v>
      </c>
      <c r="J35" s="6">
        <f>ROUND(_xlfn.POISSON.DIST(Table11[[#This Row],[Defects_Per_Batch]],$B$55,FALSE),3)</f>
        <v>6.6000000000000003E-2</v>
      </c>
      <c r="K35" s="6" t="str">
        <f>IF(Table11[[#This Row],[Defects_Prob]]&lt;0.05,"Unusual","Normal")</f>
        <v>Normal</v>
      </c>
      <c r="L35" s="6">
        <f>ROUND(_xlfn.BINOM.DIST(Table11[[#This Row],[Trial_Successes]],100,$B$59,FALSE),6)</f>
        <v>0.109435</v>
      </c>
      <c r="M35" s="6" t="str">
        <f>IF(Table11[[#This Row],[Trial_Prob]]&lt;0.05,"Rare Outcome","Expected Outcome")</f>
        <v>Expected Outcome</v>
      </c>
      <c r="N35" s="6">
        <f>ROUND(_xlfn.EXPON.DIST(Table11[[#This Row],[Waiting_Time_Minutes]],$A$62,FALSE),3)</f>
        <v>1.9E-2</v>
      </c>
      <c r="O35" s="6" t="str">
        <f>IF(Table11[[#This Row],[Waiting_Prob]]&lt;0.05,"Long Wait","Normal Wait")</f>
        <v>Long Wait</v>
      </c>
      <c r="P35" s="6">
        <f>Table11[[#This Row],[Call_Arrivals]]/MAX(Table11[Call_Arrivals])</f>
        <v>0.60526315789473684</v>
      </c>
      <c r="Q35" s="6">
        <f>Table11[[#This Row],[Defects_Per_Batch]]/MAX(Table11[Defects_Per_Batch])</f>
        <v>0.625</v>
      </c>
      <c r="R35" s="6">
        <f>Table11[[#This Row],[Waiting_Time_Minutes]] / MAX(Table11[Waiting_Time_Minutes])</f>
        <v>0.60405827263267431</v>
      </c>
      <c r="S35" s="6">
        <f>ROUND((Table11[[#This Row],[Call_Arrivals_Norm]]*0.4)+(Table11[[#This Row],[Defects_Norm]]*0.3)+(Table11[[#This Row],[Waiting_Time_Norm]]*0.3),2)</f>
        <v>0.61</v>
      </c>
      <c r="T35" t="str">
        <f>IF(Table11[[#This Row],[Risk_Score]]&gt;=0.7,"High Operational Risk",
IF(Table11[[#This Row],[Risk_Score]]&gt;=0.4,"Moderate Operational Risk",
"Normal"))</f>
        <v>Moderate Operational Risk</v>
      </c>
      <c r="U35" s="6">
        <f>ROUND(Table11[[#This Row],[Risk_Score]]-AVERAGE(Table11[Risk_Score]),2)</f>
        <v>0.16</v>
      </c>
      <c r="V35" s="6" t="str">
        <f>IF(Table11[[#This Row],[Relative_Risk_Index]]&gt;0.1,"Above Average Risk",
IF(Table11[[#This Row],[Relative_Risk_Index]]&lt;-0.1,"Below Average Risk",
"Average Risk"))</f>
        <v>Above Average Risk</v>
      </c>
    </row>
    <row r="36" spans="1:22">
      <c r="A36" s="6">
        <v>31</v>
      </c>
      <c r="B36" s="6">
        <v>36</v>
      </c>
      <c r="C36" s="6">
        <v>1</v>
      </c>
      <c r="D36" s="6">
        <v>15</v>
      </c>
      <c r="E36" s="6">
        <v>4.62</v>
      </c>
      <c r="F36" s="6">
        <v>1</v>
      </c>
      <c r="G36" s="6">
        <v>100</v>
      </c>
      <c r="H36" s="6">
        <f>ROUND(_xlfn.POISSON.DIST(Table11[[#This Row],[Call_Arrivals]],$B$54,FALSE),4)</f>
        <v>1.6400000000000001E-2</v>
      </c>
      <c r="I36" s="6" t="str">
        <f>IF(Table11[[#This Row],[Call_Prob]]&gt;0.05,"Normal","Unusual")</f>
        <v>Unusual</v>
      </c>
      <c r="J36" s="6">
        <f>ROUND(_xlfn.POISSON.DIST(Table11[[#This Row],[Defects_Per_Batch]],$B$55,FALSE),3)</f>
        <v>0.20599999999999999</v>
      </c>
      <c r="K36" s="6" t="str">
        <f>IF(Table11[[#This Row],[Defects_Prob]]&lt;0.05,"Unusual","Normal")</f>
        <v>Normal</v>
      </c>
      <c r="L36" s="6">
        <f>ROUND(_xlfn.BINOM.DIST(Table11[[#This Row],[Trial_Successes]],100,$B$59,FALSE),6)</f>
        <v>9.3754000000000004E-2</v>
      </c>
      <c r="M36" s="6" t="str">
        <f>IF(Table11[[#This Row],[Trial_Prob]]&lt;0.05,"Rare Outcome","Expected Outcome")</f>
        <v>Expected Outcome</v>
      </c>
      <c r="N36" s="6">
        <f>ROUND(_xlfn.EXPON.DIST(Table11[[#This Row],[Waiting_Time_Minutes]],$A$62,FALSE),3)</f>
        <v>7.9000000000000001E-2</v>
      </c>
      <c r="O36" s="6" t="str">
        <f>IF(Table11[[#This Row],[Waiting_Prob]]&lt;0.05,"Long Wait","Normal Wait")</f>
        <v>Normal Wait</v>
      </c>
      <c r="P36" s="6">
        <f>Table11[[#This Row],[Call_Arrivals]]/MAX(Table11[Call_Arrivals])</f>
        <v>0.94736842105263153</v>
      </c>
      <c r="Q36" s="6">
        <f>Table11[[#This Row],[Defects_Per_Batch]]/MAX(Table11[Defects_Per_Batch])</f>
        <v>0.125</v>
      </c>
      <c r="R36" s="6">
        <f>Table11[[#This Row],[Waiting_Time_Minutes]] / MAX(Table11[Waiting_Time_Minutes])</f>
        <v>0.24037460978147765</v>
      </c>
      <c r="S36" s="6">
        <f>ROUND((Table11[[#This Row],[Call_Arrivals_Norm]]*0.4)+(Table11[[#This Row],[Defects_Norm]]*0.3)+(Table11[[#This Row],[Waiting_Time_Norm]]*0.3),2)</f>
        <v>0.49</v>
      </c>
      <c r="T36" t="str">
        <f>IF(Table11[[#This Row],[Risk_Score]]&gt;=0.7,"High Operational Risk",
IF(Table11[[#This Row],[Risk_Score]]&gt;=0.4,"Moderate Operational Risk",
"Normal"))</f>
        <v>Moderate Operational Risk</v>
      </c>
      <c r="U36" s="6">
        <f>ROUND(Table11[[#This Row],[Risk_Score]]-AVERAGE(Table11[Risk_Score]),2)</f>
        <v>0.04</v>
      </c>
      <c r="V36" s="6" t="str">
        <f>IF(Table11[[#This Row],[Relative_Risk_Index]]&gt;0.1,"Above Average Risk",
IF(Table11[[#This Row],[Relative_Risk_Index]]&lt;-0.1,"Below Average Risk",
"Average Risk"))</f>
        <v>Average Risk</v>
      </c>
    </row>
    <row r="37" spans="1:22">
      <c r="A37" s="6">
        <v>32</v>
      </c>
      <c r="B37" s="6">
        <v>23</v>
      </c>
      <c r="C37" s="6">
        <v>1</v>
      </c>
      <c r="D37" s="6">
        <v>13</v>
      </c>
      <c r="E37" s="6">
        <v>14.57</v>
      </c>
      <c r="F37" s="6">
        <v>2</v>
      </c>
      <c r="G37" s="6">
        <v>100</v>
      </c>
      <c r="H37" s="6">
        <f>ROUND(_xlfn.POISSON.DIST(Table11[[#This Row],[Call_Arrivals]],$B$54,FALSE),4)</f>
        <v>6.1800000000000001E-2</v>
      </c>
      <c r="I37" s="6" t="str">
        <f>IF(Table11[[#This Row],[Call_Prob]]&gt;0.05,"Normal","Unusual")</f>
        <v>Normal</v>
      </c>
      <c r="J37" s="6">
        <f>ROUND(_xlfn.POISSON.DIST(Table11[[#This Row],[Defects_Per_Batch]],$B$55,FALSE),3)</f>
        <v>0.20599999999999999</v>
      </c>
      <c r="K37" s="6" t="str">
        <f>IF(Table11[[#This Row],[Defects_Prob]]&lt;0.05,"Unusual","Normal")</f>
        <v>Normal</v>
      </c>
      <c r="L37" s="6">
        <f>ROUND(_xlfn.BINOM.DIST(Table11[[#This Row],[Trial_Successes]],100,$B$59,FALSE),6)</f>
        <v>0.117853</v>
      </c>
      <c r="M37" s="6" t="str">
        <f>IF(Table11[[#This Row],[Trial_Prob]]&lt;0.05,"Rare Outcome","Expected Outcome")</f>
        <v>Expected Outcome</v>
      </c>
      <c r="N37" s="6">
        <f>ROUND(_xlfn.EXPON.DIST(Table11[[#This Row],[Waiting_Time_Minutes]],$A$62,FALSE),3)</f>
        <v>0.01</v>
      </c>
      <c r="O37" s="6" t="str">
        <f>IF(Table11[[#This Row],[Waiting_Prob]]&lt;0.05,"Long Wait","Normal Wait")</f>
        <v>Long Wait</v>
      </c>
      <c r="P37" s="6">
        <f>Table11[[#This Row],[Call_Arrivals]]/MAX(Table11[Call_Arrivals])</f>
        <v>0.60526315789473684</v>
      </c>
      <c r="Q37" s="6">
        <f>Table11[[#This Row],[Defects_Per_Batch]]/MAX(Table11[Defects_Per_Batch])</f>
        <v>0.125</v>
      </c>
      <c r="R37" s="6">
        <f>Table11[[#This Row],[Waiting_Time_Minutes]] / MAX(Table11[Waiting_Time_Minutes])</f>
        <v>0.75806451612903236</v>
      </c>
      <c r="S37" s="6">
        <f>ROUND((Table11[[#This Row],[Call_Arrivals_Norm]]*0.4)+(Table11[[#This Row],[Defects_Norm]]*0.3)+(Table11[[#This Row],[Waiting_Time_Norm]]*0.3),2)</f>
        <v>0.51</v>
      </c>
      <c r="T37" t="str">
        <f>IF(Table11[[#This Row],[Risk_Score]]&gt;=0.7,"High Operational Risk",
IF(Table11[[#This Row],[Risk_Score]]&gt;=0.4,"Moderate Operational Risk",
"Normal"))</f>
        <v>Moderate Operational Risk</v>
      </c>
      <c r="U37" s="6">
        <f>ROUND(Table11[[#This Row],[Risk_Score]]-AVERAGE(Table11[Risk_Score]),2)</f>
        <v>0.06</v>
      </c>
      <c r="V37" s="6" t="str">
        <f>IF(Table11[[#This Row],[Relative_Risk_Index]]&gt;0.1,"Above Average Risk",
IF(Table11[[#This Row],[Relative_Risk_Index]]&lt;-0.1,"Below Average Risk",
"Average Risk"))</f>
        <v>Average Risk</v>
      </c>
    </row>
    <row r="38" spans="1:22">
      <c r="A38" s="6">
        <v>33</v>
      </c>
      <c r="B38" s="6">
        <v>28</v>
      </c>
      <c r="C38" s="6">
        <v>2</v>
      </c>
      <c r="D38" s="6">
        <v>16</v>
      </c>
      <c r="E38" s="6">
        <v>6.17</v>
      </c>
      <c r="F38" s="6">
        <v>1</v>
      </c>
      <c r="G38" s="6">
        <v>100</v>
      </c>
      <c r="H38" s="6">
        <f>ROUND(_xlfn.POISSON.DIST(Table11[[#This Row],[Call_Arrivals]],$B$54,FALSE),4)</f>
        <v>7.3400000000000007E-2</v>
      </c>
      <c r="I38" s="6" t="str">
        <f>IF(Table11[[#This Row],[Call_Prob]]&gt;0.05,"Normal","Unusual")</f>
        <v>Normal</v>
      </c>
      <c r="J38" s="6">
        <f>ROUND(_xlfn.POISSON.DIST(Table11[[#This Row],[Defects_Per_Batch]],$B$55,FALSE),3)</f>
        <v>0.25700000000000001</v>
      </c>
      <c r="K38" s="6" t="str">
        <f>IF(Table11[[#This Row],[Defects_Prob]]&lt;0.05,"Unusual","Normal")</f>
        <v>Normal</v>
      </c>
      <c r="L38" s="6">
        <f>ROUND(_xlfn.BINOM.DIST(Table11[[#This Row],[Trial_Successes]],100,$B$59,FALSE),6)</f>
        <v>7.4424000000000004E-2</v>
      </c>
      <c r="M38" s="6" t="str">
        <f>IF(Table11[[#This Row],[Trial_Prob]]&lt;0.05,"Rare Outcome","Expected Outcome")</f>
        <v>Expected Outcome</v>
      </c>
      <c r="N38" s="6">
        <f>ROUND(_xlfn.EXPON.DIST(Table11[[#This Row],[Waiting_Time_Minutes]],$A$62,FALSE),3)</f>
        <v>5.8000000000000003E-2</v>
      </c>
      <c r="O38" s="6" t="str">
        <f>IF(Table11[[#This Row],[Waiting_Prob]]&lt;0.05,"Long Wait","Normal Wait")</f>
        <v>Normal Wait</v>
      </c>
      <c r="P38" s="6">
        <f>Table11[[#This Row],[Call_Arrivals]]/MAX(Table11[Call_Arrivals])</f>
        <v>0.73684210526315785</v>
      </c>
      <c r="Q38" s="6">
        <f>Table11[[#This Row],[Defects_Per_Batch]]/MAX(Table11[Defects_Per_Batch])</f>
        <v>0.25</v>
      </c>
      <c r="R38" s="6">
        <f>Table11[[#This Row],[Waiting_Time_Minutes]] / MAX(Table11[Waiting_Time_Minutes])</f>
        <v>0.32101977107180024</v>
      </c>
      <c r="S38" s="6">
        <f>ROUND((Table11[[#This Row],[Call_Arrivals_Norm]]*0.4)+(Table11[[#This Row],[Defects_Norm]]*0.3)+(Table11[[#This Row],[Waiting_Time_Norm]]*0.3),2)</f>
        <v>0.47</v>
      </c>
      <c r="T38" t="str">
        <f>IF(Table11[[#This Row],[Risk_Score]]&gt;=0.7,"High Operational Risk",
IF(Table11[[#This Row],[Risk_Score]]&gt;=0.4,"Moderate Operational Risk",
"Normal"))</f>
        <v>Moderate Operational Risk</v>
      </c>
      <c r="U38" s="6">
        <f>ROUND(Table11[[#This Row],[Risk_Score]]-AVERAGE(Table11[Risk_Score]),2)</f>
        <v>0.02</v>
      </c>
      <c r="V38" s="6" t="str">
        <f>IF(Table11[[#This Row],[Relative_Risk_Index]]&gt;0.1,"Above Average Risk",
IF(Table11[[#This Row],[Relative_Risk_Index]]&lt;-0.1,"Below Average Risk",
"Average Risk"))</f>
        <v>Average Risk</v>
      </c>
    </row>
    <row r="39" spans="1:22">
      <c r="A39" s="6">
        <v>34</v>
      </c>
      <c r="B39" s="6">
        <v>30</v>
      </c>
      <c r="C39" s="6">
        <v>4</v>
      </c>
      <c r="D39" s="6">
        <v>14</v>
      </c>
      <c r="E39" s="6">
        <v>0.66</v>
      </c>
      <c r="F39" s="6">
        <v>2</v>
      </c>
      <c r="G39" s="6">
        <v>100</v>
      </c>
      <c r="H39" s="6">
        <f>ROUND(_xlfn.POISSON.DIST(Table11[[#This Row],[Call_Arrivals]],$B$54,FALSE),4)</f>
        <v>6.0900000000000003E-2</v>
      </c>
      <c r="I39" s="6" t="str">
        <f>IF(Table11[[#This Row],[Call_Prob]]&gt;0.05,"Normal","Unusual")</f>
        <v>Normal</v>
      </c>
      <c r="J39" s="6">
        <f>ROUND(_xlfn.POISSON.DIST(Table11[[#This Row],[Defects_Per_Batch]],$B$55,FALSE),3)</f>
        <v>0.13300000000000001</v>
      </c>
      <c r="K39" s="6" t="str">
        <f>IF(Table11[[#This Row],[Defects_Prob]]&lt;0.05,"Unusual","Normal")</f>
        <v>Normal</v>
      </c>
      <c r="L39" s="6">
        <f>ROUND(_xlfn.BINOM.DIST(Table11[[#This Row],[Trial_Successes]],100,$B$59,FALSE),6)</f>
        <v>0.109435</v>
      </c>
      <c r="M39" s="6" t="str">
        <f>IF(Table11[[#This Row],[Trial_Prob]]&lt;0.05,"Rare Outcome","Expected Outcome")</f>
        <v>Expected Outcome</v>
      </c>
      <c r="N39" s="6">
        <f>ROUND(_xlfn.EXPON.DIST(Table11[[#This Row],[Waiting_Time_Minutes]],$A$62,FALSE),3)</f>
        <v>0.17799999999999999</v>
      </c>
      <c r="O39" s="6" t="str">
        <f>IF(Table11[[#This Row],[Waiting_Prob]]&lt;0.05,"Long Wait","Normal Wait")</f>
        <v>Normal Wait</v>
      </c>
      <c r="P39" s="6">
        <f>Table11[[#This Row],[Call_Arrivals]]/MAX(Table11[Call_Arrivals])</f>
        <v>0.78947368421052633</v>
      </c>
      <c r="Q39" s="6">
        <f>Table11[[#This Row],[Defects_Per_Batch]]/MAX(Table11[Defects_Per_Batch])</f>
        <v>0.5</v>
      </c>
      <c r="R39" s="6">
        <f>Table11[[#This Row],[Waiting_Time_Minutes]] / MAX(Table11[Waiting_Time_Minutes])</f>
        <v>3.4339229968782525E-2</v>
      </c>
      <c r="S39" s="6">
        <f>ROUND((Table11[[#This Row],[Call_Arrivals_Norm]]*0.4)+(Table11[[#This Row],[Defects_Norm]]*0.3)+(Table11[[#This Row],[Waiting_Time_Norm]]*0.3),2)</f>
        <v>0.48</v>
      </c>
      <c r="T39" t="str">
        <f>IF(Table11[[#This Row],[Risk_Score]]&gt;=0.7,"High Operational Risk",
IF(Table11[[#This Row],[Risk_Score]]&gt;=0.4,"Moderate Operational Risk",
"Normal"))</f>
        <v>Moderate Operational Risk</v>
      </c>
      <c r="U39" s="6">
        <f>ROUND(Table11[[#This Row],[Risk_Score]]-AVERAGE(Table11[Risk_Score]),2)</f>
        <v>0.03</v>
      </c>
      <c r="V39" s="6" t="str">
        <f>IF(Table11[[#This Row],[Relative_Risk_Index]]&gt;0.1,"Above Average Risk",
IF(Table11[[#This Row],[Relative_Risk_Index]]&lt;-0.1,"Below Average Risk",
"Average Risk"))</f>
        <v>Average Risk</v>
      </c>
    </row>
    <row r="40" spans="1:22">
      <c r="A40" s="6">
        <v>35</v>
      </c>
      <c r="B40" s="6">
        <v>34</v>
      </c>
      <c r="C40" s="6">
        <v>0</v>
      </c>
      <c r="D40" s="6">
        <v>11</v>
      </c>
      <c r="E40" s="6">
        <v>0.28999999999999998</v>
      </c>
      <c r="F40" s="6">
        <v>2</v>
      </c>
      <c r="G40" s="6">
        <v>100</v>
      </c>
      <c r="H40" s="6">
        <f>ROUND(_xlfn.POISSON.DIST(Table11[[#This Row],[Call_Arrivals]],$B$54,FALSE),4)</f>
        <v>2.8500000000000001E-2</v>
      </c>
      <c r="I40" s="6" t="str">
        <f>IF(Table11[[#This Row],[Call_Prob]]&gt;0.05,"Normal","Unusual")</f>
        <v>Unusual</v>
      </c>
      <c r="J40" s="6">
        <f>ROUND(_xlfn.POISSON.DIST(Table11[[#This Row],[Defects_Per_Batch]],$B$55,FALSE),3)</f>
        <v>8.3000000000000004E-2</v>
      </c>
      <c r="K40" s="6" t="str">
        <f>IF(Table11[[#This Row],[Defects_Prob]]&lt;0.05,"Unusual","Normal")</f>
        <v>Normal</v>
      </c>
      <c r="L40" s="6">
        <f>ROUND(_xlfn.BINOM.DIST(Table11[[#This Row],[Trial_Successes]],100,$B$59,FALSE),6)</f>
        <v>0.10513400000000001</v>
      </c>
      <c r="M40" s="6" t="str">
        <f>IF(Table11[[#This Row],[Trial_Prob]]&lt;0.05,"Rare Outcome","Expected Outcome")</f>
        <v>Expected Outcome</v>
      </c>
      <c r="N40" s="6">
        <f>ROUND(_xlfn.EXPON.DIST(Table11[[#This Row],[Waiting_Time_Minutes]],$A$62,FALSE),3)</f>
        <v>0.192</v>
      </c>
      <c r="O40" s="6" t="str">
        <f>IF(Table11[[#This Row],[Waiting_Prob]]&lt;0.05,"Long Wait","Normal Wait")</f>
        <v>Normal Wait</v>
      </c>
      <c r="P40" s="6">
        <f>Table11[[#This Row],[Call_Arrivals]]/MAX(Table11[Call_Arrivals])</f>
        <v>0.89473684210526316</v>
      </c>
      <c r="Q40" s="6">
        <f>Table11[[#This Row],[Defects_Per_Batch]]/MAX(Table11[Defects_Per_Batch])</f>
        <v>0</v>
      </c>
      <c r="R40" s="6">
        <f>Table11[[#This Row],[Waiting_Time_Minutes]] / MAX(Table11[Waiting_Time_Minutes])</f>
        <v>1.5088449531737772E-2</v>
      </c>
      <c r="S40" s="6">
        <f>ROUND((Table11[[#This Row],[Call_Arrivals_Norm]]*0.4)+(Table11[[#This Row],[Defects_Norm]]*0.3)+(Table11[[#This Row],[Waiting_Time_Norm]]*0.3),2)</f>
        <v>0.36</v>
      </c>
      <c r="T40" t="str">
        <f>IF(Table11[[#This Row],[Risk_Score]]&gt;=0.7,"High Operational Risk",
IF(Table11[[#This Row],[Risk_Score]]&gt;=0.4,"Moderate Operational Risk",
"Normal"))</f>
        <v>Normal</v>
      </c>
      <c r="U40" s="6">
        <f>ROUND(Table11[[#This Row],[Risk_Score]]-AVERAGE(Table11[Risk_Score]),2)</f>
        <v>-0.09</v>
      </c>
      <c r="V40" s="6" t="str">
        <f>IF(Table11[[#This Row],[Relative_Risk_Index]]&gt;0.1,"Above Average Risk",
IF(Table11[[#This Row],[Relative_Risk_Index]]&lt;-0.1,"Below Average Risk",
"Average Risk"))</f>
        <v>Average Risk</v>
      </c>
    </row>
    <row r="41" spans="1:22" ht="27.6">
      <c r="A41" s="6">
        <v>36</v>
      </c>
      <c r="B41" s="6">
        <v>19</v>
      </c>
      <c r="C41" s="6">
        <v>0</v>
      </c>
      <c r="D41" s="6">
        <v>14</v>
      </c>
      <c r="E41" s="6">
        <v>8.7100000000000009</v>
      </c>
      <c r="F41" s="6">
        <v>5</v>
      </c>
      <c r="G41" s="6">
        <v>100</v>
      </c>
      <c r="H41" s="6">
        <f>ROUND(_xlfn.POISSON.DIST(Table11[[#This Row],[Call_Arrivals]],$B$54,FALSE),4)</f>
        <v>2.52E-2</v>
      </c>
      <c r="I41" s="6" t="str">
        <f>IF(Table11[[#This Row],[Call_Prob]]&gt;0.05,"Normal","Unusual")</f>
        <v>Unusual</v>
      </c>
      <c r="J41" s="6">
        <f>ROUND(_xlfn.POISSON.DIST(Table11[[#This Row],[Defects_Per_Batch]],$B$55,FALSE),3)</f>
        <v>8.3000000000000004E-2</v>
      </c>
      <c r="K41" s="6" t="str">
        <f>IF(Table11[[#This Row],[Defects_Prob]]&lt;0.05,"Unusual","Normal")</f>
        <v>Normal</v>
      </c>
      <c r="L41" s="6">
        <f>ROUND(_xlfn.BINOM.DIST(Table11[[#This Row],[Trial_Successes]],100,$B$59,FALSE),6)</f>
        <v>0.109435</v>
      </c>
      <c r="M41" s="6" t="str">
        <f>IF(Table11[[#This Row],[Trial_Prob]]&lt;0.05,"Rare Outcome","Expected Outcome")</f>
        <v>Expected Outcome</v>
      </c>
      <c r="N41" s="6">
        <f>ROUND(_xlfn.EXPON.DIST(Table11[[#This Row],[Waiting_Time_Minutes]],$A$62,FALSE),3)</f>
        <v>3.4000000000000002E-2</v>
      </c>
      <c r="O41" s="6" t="str">
        <f>IF(Table11[[#This Row],[Waiting_Prob]]&lt;0.05,"Long Wait","Normal Wait")</f>
        <v>Long Wait</v>
      </c>
      <c r="P41" s="6">
        <f>Table11[[#This Row],[Call_Arrivals]]/MAX(Table11[Call_Arrivals])</f>
        <v>0.5</v>
      </c>
      <c r="Q41" s="6">
        <f>Table11[[#This Row],[Defects_Per_Batch]]/MAX(Table11[Defects_Per_Batch])</f>
        <v>0</v>
      </c>
      <c r="R41" s="6">
        <f>Table11[[#This Row],[Waiting_Time_Minutes]] / MAX(Table11[Waiting_Time_Minutes])</f>
        <v>0.45317377731529662</v>
      </c>
      <c r="S41" s="6">
        <f>ROUND((Table11[[#This Row],[Call_Arrivals_Norm]]*0.4)+(Table11[[#This Row],[Defects_Norm]]*0.3)+(Table11[[#This Row],[Waiting_Time_Norm]]*0.3),2)</f>
        <v>0.34</v>
      </c>
      <c r="T41" t="str">
        <f>IF(Table11[[#This Row],[Risk_Score]]&gt;=0.7,"High Operational Risk",
IF(Table11[[#This Row],[Risk_Score]]&gt;=0.4,"Moderate Operational Risk",
"Normal"))</f>
        <v>Normal</v>
      </c>
      <c r="U41" s="6">
        <f>ROUND(Table11[[#This Row],[Risk_Score]]-AVERAGE(Table11[Risk_Score]),2)</f>
        <v>-0.11</v>
      </c>
      <c r="V41" s="6" t="str">
        <f>IF(Table11[[#This Row],[Relative_Risk_Index]]&gt;0.1,"Above Average Risk",
IF(Table11[[#This Row],[Relative_Risk_Index]]&lt;-0.1,"Below Average Risk",
"Average Risk"))</f>
        <v>Below Average Risk</v>
      </c>
    </row>
    <row r="42" spans="1:22">
      <c r="A42" s="6">
        <v>37</v>
      </c>
      <c r="B42" s="6">
        <v>32</v>
      </c>
      <c r="C42" s="6">
        <v>1</v>
      </c>
      <c r="D42" s="6">
        <v>10</v>
      </c>
      <c r="E42" s="6">
        <v>0.35</v>
      </c>
      <c r="F42" s="6">
        <v>1</v>
      </c>
      <c r="G42" s="6">
        <v>100</v>
      </c>
      <c r="H42" s="6">
        <f>ROUND(_xlfn.POISSON.DIST(Table11[[#This Row],[Call_Arrivals]],$B$54,FALSE),4)</f>
        <v>4.4400000000000002E-2</v>
      </c>
      <c r="I42" s="6" t="str">
        <f>IF(Table11[[#This Row],[Call_Prob]]&gt;0.05,"Normal","Unusual")</f>
        <v>Unusual</v>
      </c>
      <c r="J42" s="6">
        <f>ROUND(_xlfn.POISSON.DIST(Table11[[#This Row],[Defects_Per_Batch]],$B$55,FALSE),3)</f>
        <v>0.20599999999999999</v>
      </c>
      <c r="K42" s="6" t="str">
        <f>IF(Table11[[#This Row],[Defects_Prob]]&lt;0.05,"Unusual","Normal")</f>
        <v>Normal</v>
      </c>
      <c r="L42" s="6">
        <f>ROUND(_xlfn.BINOM.DIST(Table11[[#This Row],[Trial_Successes]],100,$B$59,FALSE),6)</f>
        <v>8.5995000000000002E-2</v>
      </c>
      <c r="M42" s="6" t="str">
        <f>IF(Table11[[#This Row],[Trial_Prob]]&lt;0.05,"Rare Outcome","Expected Outcome")</f>
        <v>Expected Outcome</v>
      </c>
      <c r="N42" s="6">
        <f>ROUND(_xlfn.EXPON.DIST(Table11[[#This Row],[Waiting_Time_Minutes]],$A$62,FALSE),3)</f>
        <v>0.19</v>
      </c>
      <c r="O42" s="6" t="str">
        <f>IF(Table11[[#This Row],[Waiting_Prob]]&lt;0.05,"Long Wait","Normal Wait")</f>
        <v>Normal Wait</v>
      </c>
      <c r="P42" s="6">
        <f>Table11[[#This Row],[Call_Arrivals]]/MAX(Table11[Call_Arrivals])</f>
        <v>0.84210526315789469</v>
      </c>
      <c r="Q42" s="6">
        <f>Table11[[#This Row],[Defects_Per_Batch]]/MAX(Table11[Defects_Per_Batch])</f>
        <v>0.125</v>
      </c>
      <c r="R42" s="6">
        <f>Table11[[#This Row],[Waiting_Time_Minutes]] / MAX(Table11[Waiting_Time_Minutes])</f>
        <v>1.8210197710718003E-2</v>
      </c>
      <c r="S42" s="6">
        <f>ROUND((Table11[[#This Row],[Call_Arrivals_Norm]]*0.4)+(Table11[[#This Row],[Defects_Norm]]*0.3)+(Table11[[#This Row],[Waiting_Time_Norm]]*0.3),2)</f>
        <v>0.38</v>
      </c>
      <c r="T42" t="str">
        <f>IF(Table11[[#This Row],[Risk_Score]]&gt;=0.7,"High Operational Risk",
IF(Table11[[#This Row],[Risk_Score]]&gt;=0.4,"Moderate Operational Risk",
"Normal"))</f>
        <v>Normal</v>
      </c>
      <c r="U42" s="6">
        <f>ROUND(Table11[[#This Row],[Risk_Score]]-AVERAGE(Table11[Risk_Score]),2)</f>
        <v>-7.0000000000000007E-2</v>
      </c>
      <c r="V42" s="6" t="str">
        <f>IF(Table11[[#This Row],[Relative_Risk_Index]]&gt;0.1,"Above Average Risk",
IF(Table11[[#This Row],[Relative_Risk_Index]]&lt;-0.1,"Below Average Risk",
"Average Risk"))</f>
        <v>Average Risk</v>
      </c>
    </row>
    <row r="43" spans="1:22" ht="27.6">
      <c r="A43" s="6">
        <v>38</v>
      </c>
      <c r="B43" s="6">
        <v>31</v>
      </c>
      <c r="C43" s="6">
        <v>3</v>
      </c>
      <c r="D43" s="6">
        <v>12</v>
      </c>
      <c r="E43" s="6">
        <v>7.57</v>
      </c>
      <c r="F43" s="6">
        <v>3</v>
      </c>
      <c r="G43" s="6">
        <v>100</v>
      </c>
      <c r="H43" s="6">
        <f>ROUND(_xlfn.POISSON.DIST(Table11[[#This Row],[Call_Arrivals]],$B$54,FALSE),4)</f>
        <v>5.28E-2</v>
      </c>
      <c r="I43" s="6" t="str">
        <f>IF(Table11[[#This Row],[Call_Prob]]&gt;0.05,"Normal","Unusual")</f>
        <v>Normal</v>
      </c>
      <c r="J43" s="6">
        <f>ROUND(_xlfn.POISSON.DIST(Table11[[#This Row],[Defects_Per_Batch]],$B$55,FALSE),3)</f>
        <v>0.21299999999999999</v>
      </c>
      <c r="K43" s="6" t="str">
        <f>IF(Table11[[#This Row],[Defects_Prob]]&lt;0.05,"Unusual","Normal")</f>
        <v>Normal</v>
      </c>
      <c r="L43" s="6">
        <f>ROUND(_xlfn.BINOM.DIST(Table11[[#This Row],[Trial_Successes]],100,$B$59,FALSE),6)</f>
        <v>0.11651400000000001</v>
      </c>
      <c r="M43" s="6" t="str">
        <f>IF(Table11[[#This Row],[Trial_Prob]]&lt;0.05,"Rare Outcome","Expected Outcome")</f>
        <v>Expected Outcome</v>
      </c>
      <c r="N43" s="6">
        <f>ROUND(_xlfn.EXPON.DIST(Table11[[#This Row],[Waiting_Time_Minutes]],$A$62,FALSE),3)</f>
        <v>4.3999999999999997E-2</v>
      </c>
      <c r="O43" s="6" t="str">
        <f>IF(Table11[[#This Row],[Waiting_Prob]]&lt;0.05,"Long Wait","Normal Wait")</f>
        <v>Long Wait</v>
      </c>
      <c r="P43" s="6">
        <f>Table11[[#This Row],[Call_Arrivals]]/MAX(Table11[Call_Arrivals])</f>
        <v>0.81578947368421051</v>
      </c>
      <c r="Q43" s="6">
        <f>Table11[[#This Row],[Defects_Per_Batch]]/MAX(Table11[Defects_Per_Batch])</f>
        <v>0.375</v>
      </c>
      <c r="R43" s="6">
        <f>Table11[[#This Row],[Waiting_Time_Minutes]] / MAX(Table11[Waiting_Time_Minutes])</f>
        <v>0.39386056191467228</v>
      </c>
      <c r="S43" s="6">
        <f>ROUND((Table11[[#This Row],[Call_Arrivals_Norm]]*0.4)+(Table11[[#This Row],[Defects_Norm]]*0.3)+(Table11[[#This Row],[Waiting_Time_Norm]]*0.3),2)</f>
        <v>0.56000000000000005</v>
      </c>
      <c r="T43" t="str">
        <f>IF(Table11[[#This Row],[Risk_Score]]&gt;=0.7,"High Operational Risk",
IF(Table11[[#This Row],[Risk_Score]]&gt;=0.4,"Moderate Operational Risk",
"Normal"))</f>
        <v>Moderate Operational Risk</v>
      </c>
      <c r="U43" s="6">
        <f>ROUND(Table11[[#This Row],[Risk_Score]]-AVERAGE(Table11[Risk_Score]),2)</f>
        <v>0.11</v>
      </c>
      <c r="V43" s="6" t="str">
        <f>IF(Table11[[#This Row],[Relative_Risk_Index]]&gt;0.1,"Above Average Risk",
IF(Table11[[#This Row],[Relative_Risk_Index]]&lt;-0.1,"Below Average Risk",
"Average Risk"))</f>
        <v>Above Average Risk</v>
      </c>
    </row>
    <row r="44" spans="1:22" ht="27.6">
      <c r="A44" s="6">
        <v>39</v>
      </c>
      <c r="B44" s="6">
        <v>23</v>
      </c>
      <c r="C44" s="6">
        <v>1</v>
      </c>
      <c r="D44" s="6">
        <v>13</v>
      </c>
      <c r="E44" s="6">
        <v>3.82</v>
      </c>
      <c r="F44" s="6">
        <v>1</v>
      </c>
      <c r="G44" s="6">
        <v>100</v>
      </c>
      <c r="H44" s="6">
        <f>ROUND(_xlfn.POISSON.DIST(Table11[[#This Row],[Call_Arrivals]],$B$54,FALSE),4)</f>
        <v>6.1800000000000001E-2</v>
      </c>
      <c r="I44" s="6" t="str">
        <f>IF(Table11[[#This Row],[Call_Prob]]&gt;0.05,"Normal","Unusual")</f>
        <v>Normal</v>
      </c>
      <c r="J44" s="6">
        <f>ROUND(_xlfn.POISSON.DIST(Table11[[#This Row],[Defects_Per_Batch]],$B$55,FALSE),3)</f>
        <v>0.20599999999999999</v>
      </c>
      <c r="K44" s="6" t="str">
        <f>IF(Table11[[#This Row],[Defects_Prob]]&lt;0.05,"Unusual","Normal")</f>
        <v>Normal</v>
      </c>
      <c r="L44" s="6">
        <f>ROUND(_xlfn.BINOM.DIST(Table11[[#This Row],[Trial_Successes]],100,$B$59,FALSE),6)</f>
        <v>0.117853</v>
      </c>
      <c r="M44" s="6" t="str">
        <f>IF(Table11[[#This Row],[Trial_Prob]]&lt;0.05,"Rare Outcome","Expected Outcome")</f>
        <v>Expected Outcome</v>
      </c>
      <c r="N44" s="6">
        <f>ROUND(_xlfn.EXPON.DIST(Table11[[#This Row],[Waiting_Time_Minutes]],$A$62,FALSE),3)</f>
        <v>9.4E-2</v>
      </c>
      <c r="O44" s="6" t="str">
        <f>IF(Table11[[#This Row],[Waiting_Prob]]&lt;0.05,"Long Wait","Normal Wait")</f>
        <v>Normal Wait</v>
      </c>
      <c r="P44" s="6">
        <f>Table11[[#This Row],[Call_Arrivals]]/MAX(Table11[Call_Arrivals])</f>
        <v>0.60526315789473684</v>
      </c>
      <c r="Q44" s="6">
        <f>Table11[[#This Row],[Defects_Per_Batch]]/MAX(Table11[Defects_Per_Batch])</f>
        <v>0.125</v>
      </c>
      <c r="R44" s="6">
        <f>Table11[[#This Row],[Waiting_Time_Minutes]] / MAX(Table11[Waiting_Time_Minutes])</f>
        <v>0.19875130072840791</v>
      </c>
      <c r="S44" s="6">
        <f>ROUND((Table11[[#This Row],[Call_Arrivals_Norm]]*0.4)+(Table11[[#This Row],[Defects_Norm]]*0.3)+(Table11[[#This Row],[Waiting_Time_Norm]]*0.3),2)</f>
        <v>0.34</v>
      </c>
      <c r="T44" t="str">
        <f>IF(Table11[[#This Row],[Risk_Score]]&gt;=0.7,"High Operational Risk",
IF(Table11[[#This Row],[Risk_Score]]&gt;=0.4,"Moderate Operational Risk",
"Normal"))</f>
        <v>Normal</v>
      </c>
      <c r="U44" s="6">
        <f>ROUND(Table11[[#This Row],[Risk_Score]]-AVERAGE(Table11[Risk_Score]),2)</f>
        <v>-0.11</v>
      </c>
      <c r="V44" s="6" t="str">
        <f>IF(Table11[[#This Row],[Relative_Risk_Index]]&gt;0.1,"Above Average Risk",
IF(Table11[[#This Row],[Relative_Risk_Index]]&lt;-0.1,"Below Average Risk",
"Average Risk"))</f>
        <v>Below Average Risk</v>
      </c>
    </row>
    <row r="45" spans="1:22" ht="27.6">
      <c r="A45" s="6">
        <v>40</v>
      </c>
      <c r="B45" s="6">
        <v>11</v>
      </c>
      <c r="C45" s="6">
        <v>3</v>
      </c>
      <c r="D45" s="6">
        <v>17</v>
      </c>
      <c r="E45" s="6">
        <v>2.81</v>
      </c>
      <c r="F45" s="6">
        <v>5</v>
      </c>
      <c r="G45" s="6">
        <v>100</v>
      </c>
      <c r="H45" s="6">
        <f>ROUND(_xlfn.POISSON.DIST(Table11[[#This Row],[Call_Arrivals]],$B$54,FALSE),4)</f>
        <v>2.9999999999999997E-4</v>
      </c>
      <c r="I45" s="6" t="str">
        <f>IF(Table11[[#This Row],[Call_Prob]]&gt;0.05,"Normal","Unusual")</f>
        <v>Unusual</v>
      </c>
      <c r="J45" s="6">
        <f>ROUND(_xlfn.POISSON.DIST(Table11[[#This Row],[Defects_Per_Batch]],$B$55,FALSE),3)</f>
        <v>0.21299999999999999</v>
      </c>
      <c r="K45" s="6" t="str">
        <f>IF(Table11[[#This Row],[Defects_Prob]]&lt;0.05,"Unusual","Normal")</f>
        <v>Normal</v>
      </c>
      <c r="L45" s="6">
        <f>ROUND(_xlfn.BINOM.DIST(Table11[[#This Row],[Trial_Successes]],100,$B$59,FALSE),6)</f>
        <v>5.4949999999999999E-2</v>
      </c>
      <c r="M45" s="6" t="str">
        <f>IF(Table11[[#This Row],[Trial_Prob]]&lt;0.05,"Rare Outcome","Expected Outcome")</f>
        <v>Expected Outcome</v>
      </c>
      <c r="N45" s="6">
        <f>ROUND(_xlfn.EXPON.DIST(Table11[[#This Row],[Waiting_Time_Minutes]],$A$62,FALSE),3)</f>
        <v>0.115</v>
      </c>
      <c r="O45" s="6" t="str">
        <f>IF(Table11[[#This Row],[Waiting_Prob]]&lt;0.05,"Long Wait","Normal Wait")</f>
        <v>Normal Wait</v>
      </c>
      <c r="P45" s="6">
        <f>Table11[[#This Row],[Call_Arrivals]]/MAX(Table11[Call_Arrivals])</f>
        <v>0.28947368421052633</v>
      </c>
      <c r="Q45" s="6">
        <f>Table11[[#This Row],[Defects_Per_Batch]]/MAX(Table11[Defects_Per_Batch])</f>
        <v>0.375</v>
      </c>
      <c r="R45" s="6">
        <f>Table11[[#This Row],[Waiting_Time_Minutes]] / MAX(Table11[Waiting_Time_Minutes])</f>
        <v>0.14620187304890739</v>
      </c>
      <c r="S45" s="6">
        <f>ROUND((Table11[[#This Row],[Call_Arrivals_Norm]]*0.4)+(Table11[[#This Row],[Defects_Norm]]*0.3)+(Table11[[#This Row],[Waiting_Time_Norm]]*0.3),2)</f>
        <v>0.27</v>
      </c>
      <c r="T45" t="str">
        <f>IF(Table11[[#This Row],[Risk_Score]]&gt;=0.7,"High Operational Risk",
IF(Table11[[#This Row],[Risk_Score]]&gt;=0.4,"Moderate Operational Risk",
"Normal"))</f>
        <v>Normal</v>
      </c>
      <c r="U45" s="6">
        <f>ROUND(Table11[[#This Row],[Risk_Score]]-AVERAGE(Table11[Risk_Score]),2)</f>
        <v>-0.18</v>
      </c>
      <c r="V45" s="6" t="str">
        <f>IF(Table11[[#This Row],[Relative_Risk_Index]]&gt;0.1,"Above Average Risk",
IF(Table11[[#This Row],[Relative_Risk_Index]]&lt;-0.1,"Below Average Risk",
"Average Risk"))</f>
        <v>Below Average Risk</v>
      </c>
    </row>
    <row r="46" spans="1:22">
      <c r="A46" s="6">
        <v>41</v>
      </c>
      <c r="B46" s="6">
        <v>25</v>
      </c>
      <c r="C46" s="6">
        <v>2</v>
      </c>
      <c r="D46" s="6">
        <v>9</v>
      </c>
      <c r="E46" s="6">
        <v>2.44</v>
      </c>
      <c r="F46" s="6">
        <v>5</v>
      </c>
      <c r="G46" s="6">
        <v>100</v>
      </c>
      <c r="H46" s="6">
        <f>ROUND(_xlfn.POISSON.DIST(Table11[[#This Row],[Call_Arrivals]],$B$54,FALSE),4)</f>
        <v>7.4399999999999994E-2</v>
      </c>
      <c r="I46" s="6" t="str">
        <f>IF(Table11[[#This Row],[Call_Prob]]&gt;0.05,"Normal","Unusual")</f>
        <v>Normal</v>
      </c>
      <c r="J46" s="6">
        <f>ROUND(_xlfn.POISSON.DIST(Table11[[#This Row],[Defects_Per_Batch]],$B$55,FALSE),3)</f>
        <v>0.25700000000000001</v>
      </c>
      <c r="K46" s="6" t="str">
        <f>IF(Table11[[#This Row],[Defects_Prob]]&lt;0.05,"Unusual","Normal")</f>
        <v>Normal</v>
      </c>
      <c r="L46" s="6">
        <f>ROUND(_xlfn.BINOM.DIST(Table11[[#This Row],[Trial_Successes]],100,$B$59,FALSE),6)</f>
        <v>6.3242000000000007E-2</v>
      </c>
      <c r="M46" s="6" t="str">
        <f>IF(Table11[[#This Row],[Trial_Prob]]&lt;0.05,"Rare Outcome","Expected Outcome")</f>
        <v>Expected Outcome</v>
      </c>
      <c r="N46" s="6">
        <f>ROUND(_xlfn.EXPON.DIST(Table11[[#This Row],[Waiting_Time_Minutes]],$A$62,FALSE),3)</f>
        <v>0.124</v>
      </c>
      <c r="O46" s="6" t="str">
        <f>IF(Table11[[#This Row],[Waiting_Prob]]&lt;0.05,"Long Wait","Normal Wait")</f>
        <v>Normal Wait</v>
      </c>
      <c r="P46" s="6">
        <f>Table11[[#This Row],[Call_Arrivals]]/MAX(Table11[Call_Arrivals])</f>
        <v>0.65789473684210531</v>
      </c>
      <c r="Q46" s="6">
        <f>Table11[[#This Row],[Defects_Per_Batch]]/MAX(Table11[Defects_Per_Batch])</f>
        <v>0.25</v>
      </c>
      <c r="R46" s="6">
        <f>Table11[[#This Row],[Waiting_Time_Minutes]] / MAX(Table11[Waiting_Time_Minutes])</f>
        <v>0.12695109261186266</v>
      </c>
      <c r="S46" s="6">
        <f>ROUND((Table11[[#This Row],[Call_Arrivals_Norm]]*0.4)+(Table11[[#This Row],[Defects_Norm]]*0.3)+(Table11[[#This Row],[Waiting_Time_Norm]]*0.3),2)</f>
        <v>0.38</v>
      </c>
      <c r="T46" t="str">
        <f>IF(Table11[[#This Row],[Risk_Score]]&gt;=0.7,"High Operational Risk",
IF(Table11[[#This Row],[Risk_Score]]&gt;=0.4,"Moderate Operational Risk",
"Normal"))</f>
        <v>Normal</v>
      </c>
      <c r="U46" s="6">
        <f>ROUND(Table11[[#This Row],[Risk_Score]]-AVERAGE(Table11[Risk_Score]),2)</f>
        <v>-7.0000000000000007E-2</v>
      </c>
      <c r="V46" s="6" t="str">
        <f>IF(Table11[[#This Row],[Relative_Risk_Index]]&gt;0.1,"Above Average Risk",
IF(Table11[[#This Row],[Relative_Risk_Index]]&lt;-0.1,"Below Average Risk",
"Average Risk"))</f>
        <v>Average Risk</v>
      </c>
    </row>
    <row r="47" spans="1:22" ht="27.6">
      <c r="A47" s="6">
        <v>42</v>
      </c>
      <c r="B47" s="6">
        <v>23</v>
      </c>
      <c r="C47" s="6">
        <v>6</v>
      </c>
      <c r="D47" s="6">
        <v>12</v>
      </c>
      <c r="E47" s="6">
        <v>19.22</v>
      </c>
      <c r="F47" s="6">
        <v>5</v>
      </c>
      <c r="G47" s="6">
        <v>100</v>
      </c>
      <c r="H47" s="6">
        <f>ROUND(_xlfn.POISSON.DIST(Table11[[#This Row],[Call_Arrivals]],$B$54,FALSE),4)</f>
        <v>6.1800000000000001E-2</v>
      </c>
      <c r="I47" s="6" t="str">
        <f>IF(Table11[[#This Row],[Call_Prob]]&gt;0.05,"Normal","Unusual")</f>
        <v>Normal</v>
      </c>
      <c r="J47" s="6">
        <f>ROUND(_xlfn.POISSON.DIST(Table11[[#This Row],[Defects_Per_Batch]],$B$55,FALSE),3)</f>
        <v>2.7E-2</v>
      </c>
      <c r="K47" s="6" t="str">
        <f>IF(Table11[[#This Row],[Defects_Prob]]&lt;0.05,"Unusual","Normal")</f>
        <v>Unusual</v>
      </c>
      <c r="L47" s="6">
        <f>ROUND(_xlfn.BINOM.DIST(Table11[[#This Row],[Trial_Successes]],100,$B$59,FALSE),6)</f>
        <v>0.11651400000000001</v>
      </c>
      <c r="M47" s="6" t="str">
        <f>IF(Table11[[#This Row],[Trial_Prob]]&lt;0.05,"Rare Outcome","Expected Outcome")</f>
        <v>Expected Outcome</v>
      </c>
      <c r="N47" s="6">
        <f>ROUND(_xlfn.EXPON.DIST(Table11[[#This Row],[Waiting_Time_Minutes]],$A$62,FALSE),3)</f>
        <v>4.0000000000000001E-3</v>
      </c>
      <c r="O47" s="6" t="str">
        <f>IF(Table11[[#This Row],[Waiting_Prob]]&lt;0.05,"Long Wait","Normal Wait")</f>
        <v>Long Wait</v>
      </c>
      <c r="P47" s="6">
        <f>Table11[[#This Row],[Call_Arrivals]]/MAX(Table11[Call_Arrivals])</f>
        <v>0.60526315789473684</v>
      </c>
      <c r="Q47" s="6">
        <f>Table11[[#This Row],[Defects_Per_Batch]]/MAX(Table11[Defects_Per_Batch])</f>
        <v>0.75</v>
      </c>
      <c r="R47" s="6">
        <f>Table11[[#This Row],[Waiting_Time_Minutes]] / MAX(Table11[Waiting_Time_Minutes])</f>
        <v>1</v>
      </c>
      <c r="S47" s="6">
        <f>ROUND((Table11[[#This Row],[Call_Arrivals_Norm]]*0.4)+(Table11[[#This Row],[Defects_Norm]]*0.3)+(Table11[[#This Row],[Waiting_Time_Norm]]*0.3),2)</f>
        <v>0.77</v>
      </c>
      <c r="T47" t="str">
        <f>IF(Table11[[#This Row],[Risk_Score]]&gt;=0.7,"High Operational Risk",
IF(Table11[[#This Row],[Risk_Score]]&gt;=0.4,"Moderate Operational Risk",
"Normal"))</f>
        <v>High Operational Risk</v>
      </c>
      <c r="U47" s="6">
        <f>ROUND(Table11[[#This Row],[Risk_Score]]-AVERAGE(Table11[Risk_Score]),2)</f>
        <v>0.32</v>
      </c>
      <c r="V47" s="6" t="str">
        <f>IF(Table11[[#This Row],[Relative_Risk_Index]]&gt;0.1,"Above Average Risk",
IF(Table11[[#This Row],[Relative_Risk_Index]]&lt;-0.1,"Below Average Risk",
"Average Risk"))</f>
        <v>Above Average Risk</v>
      </c>
    </row>
    <row r="48" spans="1:22">
      <c r="A48" s="6">
        <v>43</v>
      </c>
      <c r="B48" s="6">
        <v>33</v>
      </c>
      <c r="C48" s="6">
        <v>3</v>
      </c>
      <c r="D48" s="6">
        <v>12</v>
      </c>
      <c r="E48" s="6">
        <v>1.45</v>
      </c>
      <c r="F48" s="6">
        <v>1</v>
      </c>
      <c r="G48" s="6">
        <v>100</v>
      </c>
      <c r="H48" s="6">
        <f>ROUND(_xlfn.POISSON.DIST(Table11[[#This Row],[Call_Arrivals]],$B$54,FALSE),4)</f>
        <v>3.61E-2</v>
      </c>
      <c r="I48" s="6" t="str">
        <f>IF(Table11[[#This Row],[Call_Prob]]&gt;0.05,"Normal","Unusual")</f>
        <v>Unusual</v>
      </c>
      <c r="J48" s="6">
        <f>ROUND(_xlfn.POISSON.DIST(Table11[[#This Row],[Defects_Per_Batch]],$B$55,FALSE),3)</f>
        <v>0.21299999999999999</v>
      </c>
      <c r="K48" s="6" t="str">
        <f>IF(Table11[[#This Row],[Defects_Prob]]&lt;0.05,"Unusual","Normal")</f>
        <v>Normal</v>
      </c>
      <c r="L48" s="6">
        <f>ROUND(_xlfn.BINOM.DIST(Table11[[#This Row],[Trial_Successes]],100,$B$59,FALSE),6)</f>
        <v>0.11651400000000001</v>
      </c>
      <c r="M48" s="6" t="str">
        <f>IF(Table11[[#This Row],[Trial_Prob]]&lt;0.05,"Rare Outcome","Expected Outcome")</f>
        <v>Expected Outcome</v>
      </c>
      <c r="N48" s="6">
        <f>ROUND(_xlfn.EXPON.DIST(Table11[[#This Row],[Waiting_Time_Minutes]],$A$62,FALSE),3)</f>
        <v>0.152</v>
      </c>
      <c r="O48" s="6" t="str">
        <f>IF(Table11[[#This Row],[Waiting_Prob]]&lt;0.05,"Long Wait","Normal Wait")</f>
        <v>Normal Wait</v>
      </c>
      <c r="P48" s="6">
        <f>Table11[[#This Row],[Call_Arrivals]]/MAX(Table11[Call_Arrivals])</f>
        <v>0.86842105263157898</v>
      </c>
      <c r="Q48" s="6">
        <f>Table11[[#This Row],[Defects_Per_Batch]]/MAX(Table11[Defects_Per_Batch])</f>
        <v>0.375</v>
      </c>
      <c r="R48" s="6">
        <f>Table11[[#This Row],[Waiting_Time_Minutes]] / MAX(Table11[Waiting_Time_Minutes])</f>
        <v>7.5442247658688871E-2</v>
      </c>
      <c r="S48" s="6">
        <f>ROUND((Table11[[#This Row],[Call_Arrivals_Norm]]*0.4)+(Table11[[#This Row],[Defects_Norm]]*0.3)+(Table11[[#This Row],[Waiting_Time_Norm]]*0.3),2)</f>
        <v>0.48</v>
      </c>
      <c r="T48" t="str">
        <f>IF(Table11[[#This Row],[Risk_Score]]&gt;=0.7,"High Operational Risk",
IF(Table11[[#This Row],[Risk_Score]]&gt;=0.4,"Moderate Operational Risk",
"Normal"))</f>
        <v>Moderate Operational Risk</v>
      </c>
      <c r="U48" s="6">
        <f>ROUND(Table11[[#This Row],[Risk_Score]]-AVERAGE(Table11[Risk_Score]),2)</f>
        <v>0.03</v>
      </c>
      <c r="V48" s="6" t="str">
        <f>IF(Table11[[#This Row],[Relative_Risk_Index]]&gt;0.1,"Above Average Risk",
IF(Table11[[#This Row],[Relative_Risk_Index]]&lt;-0.1,"Below Average Risk",
"Average Risk"))</f>
        <v>Average Risk</v>
      </c>
    </row>
    <row r="49" spans="1:22">
      <c r="A49" s="6">
        <v>44</v>
      </c>
      <c r="B49" s="6">
        <v>27</v>
      </c>
      <c r="C49" s="6">
        <v>2</v>
      </c>
      <c r="D49" s="6">
        <v>12</v>
      </c>
      <c r="E49" s="6">
        <v>4.3</v>
      </c>
      <c r="F49" s="6">
        <v>4</v>
      </c>
      <c r="G49" s="6">
        <v>100</v>
      </c>
      <c r="H49" s="6">
        <f>ROUND(_xlfn.POISSON.DIST(Table11[[#This Row],[Call_Arrivals]],$B$54,FALSE),4)</f>
        <v>7.6499999999999999E-2</v>
      </c>
      <c r="I49" s="6" t="str">
        <f>IF(Table11[[#This Row],[Call_Prob]]&gt;0.05,"Normal","Unusual")</f>
        <v>Normal</v>
      </c>
      <c r="J49" s="6">
        <f>ROUND(_xlfn.POISSON.DIST(Table11[[#This Row],[Defects_Per_Batch]],$B$55,FALSE),3)</f>
        <v>0.25700000000000001</v>
      </c>
      <c r="K49" s="6" t="str">
        <f>IF(Table11[[#This Row],[Defects_Prob]]&lt;0.05,"Unusual","Normal")</f>
        <v>Normal</v>
      </c>
      <c r="L49" s="6">
        <f>ROUND(_xlfn.BINOM.DIST(Table11[[#This Row],[Trial_Successes]],100,$B$59,FALSE),6)</f>
        <v>0.11651400000000001</v>
      </c>
      <c r="M49" s="6" t="str">
        <f>IF(Table11[[#This Row],[Trial_Prob]]&lt;0.05,"Rare Outcome","Expected Outcome")</f>
        <v>Expected Outcome</v>
      </c>
      <c r="N49" s="6">
        <f>ROUND(_xlfn.EXPON.DIST(Table11[[#This Row],[Waiting_Time_Minutes]],$A$62,FALSE),3)</f>
        <v>8.5000000000000006E-2</v>
      </c>
      <c r="O49" s="6" t="str">
        <f>IF(Table11[[#This Row],[Waiting_Prob]]&lt;0.05,"Long Wait","Normal Wait")</f>
        <v>Normal Wait</v>
      </c>
      <c r="P49" s="6">
        <f>Table11[[#This Row],[Call_Arrivals]]/MAX(Table11[Call_Arrivals])</f>
        <v>0.71052631578947367</v>
      </c>
      <c r="Q49" s="6">
        <f>Table11[[#This Row],[Defects_Per_Batch]]/MAX(Table11[Defects_Per_Batch])</f>
        <v>0.25</v>
      </c>
      <c r="R49" s="6">
        <f>Table11[[#This Row],[Waiting_Time_Minutes]] / MAX(Table11[Waiting_Time_Minutes])</f>
        <v>0.22372528616024975</v>
      </c>
      <c r="S49" s="6">
        <f>ROUND((Table11[[#This Row],[Call_Arrivals_Norm]]*0.4)+(Table11[[#This Row],[Defects_Norm]]*0.3)+(Table11[[#This Row],[Waiting_Time_Norm]]*0.3),2)</f>
        <v>0.43</v>
      </c>
      <c r="T49" t="str">
        <f>IF(Table11[[#This Row],[Risk_Score]]&gt;=0.7,"High Operational Risk",
IF(Table11[[#This Row],[Risk_Score]]&gt;=0.4,"Moderate Operational Risk",
"Normal"))</f>
        <v>Moderate Operational Risk</v>
      </c>
      <c r="U49" s="6">
        <f>ROUND(Table11[[#This Row],[Risk_Score]]-AVERAGE(Table11[Risk_Score]),2)</f>
        <v>-0.02</v>
      </c>
      <c r="V49" s="6" t="str">
        <f>IF(Table11[[#This Row],[Relative_Risk_Index]]&gt;0.1,"Above Average Risk",
IF(Table11[[#This Row],[Relative_Risk_Index]]&lt;-0.1,"Below Average Risk",
"Average Risk"))</f>
        <v>Average Risk</v>
      </c>
    </row>
    <row r="50" spans="1:22">
      <c r="A50" s="6">
        <v>45</v>
      </c>
      <c r="B50" s="6">
        <v>18</v>
      </c>
      <c r="C50" s="6">
        <v>1</v>
      </c>
      <c r="D50" s="6">
        <v>11</v>
      </c>
      <c r="E50" s="6">
        <v>9.77</v>
      </c>
      <c r="F50" s="6">
        <v>5</v>
      </c>
      <c r="G50" s="6">
        <v>100</v>
      </c>
      <c r="H50" s="6">
        <f>ROUND(_xlfn.POISSON.DIST(Table11[[#This Row],[Call_Arrivals]],$B$54,FALSE),4)</f>
        <v>1.78E-2</v>
      </c>
      <c r="I50" s="6" t="str">
        <f>IF(Table11[[#This Row],[Call_Prob]]&gt;0.05,"Normal","Unusual")</f>
        <v>Unusual</v>
      </c>
      <c r="J50" s="6">
        <f>ROUND(_xlfn.POISSON.DIST(Table11[[#This Row],[Defects_Per_Batch]],$B$55,FALSE),3)</f>
        <v>0.20599999999999999</v>
      </c>
      <c r="K50" s="6" t="str">
        <f>IF(Table11[[#This Row],[Defects_Prob]]&lt;0.05,"Unusual","Normal")</f>
        <v>Normal</v>
      </c>
      <c r="L50" s="6">
        <f>ROUND(_xlfn.BINOM.DIST(Table11[[#This Row],[Trial_Successes]],100,$B$59,FALSE),6)</f>
        <v>0.10513400000000001</v>
      </c>
      <c r="M50" s="6" t="str">
        <f>IF(Table11[[#This Row],[Trial_Prob]]&lt;0.05,"Rare Outcome","Expected Outcome")</f>
        <v>Expected Outcome</v>
      </c>
      <c r="N50" s="6">
        <f>ROUND(_xlfn.EXPON.DIST(Table11[[#This Row],[Waiting_Time_Minutes]],$A$62,FALSE),3)</f>
        <v>2.8000000000000001E-2</v>
      </c>
      <c r="O50" s="6" t="str">
        <f>IF(Table11[[#This Row],[Waiting_Prob]]&lt;0.05,"Long Wait","Normal Wait")</f>
        <v>Long Wait</v>
      </c>
      <c r="P50" s="6">
        <f>Table11[[#This Row],[Call_Arrivals]]/MAX(Table11[Call_Arrivals])</f>
        <v>0.47368421052631576</v>
      </c>
      <c r="Q50" s="6">
        <f>Table11[[#This Row],[Defects_Per_Batch]]/MAX(Table11[Defects_Per_Batch])</f>
        <v>0.125</v>
      </c>
      <c r="R50" s="6">
        <f>Table11[[#This Row],[Waiting_Time_Minutes]] / MAX(Table11[Waiting_Time_Minutes])</f>
        <v>0.50832466181061398</v>
      </c>
      <c r="S50" s="6">
        <f>ROUND((Table11[[#This Row],[Call_Arrivals_Norm]]*0.4)+(Table11[[#This Row],[Defects_Norm]]*0.3)+(Table11[[#This Row],[Waiting_Time_Norm]]*0.3),2)</f>
        <v>0.38</v>
      </c>
      <c r="T50" t="str">
        <f>IF(Table11[[#This Row],[Risk_Score]]&gt;=0.7,"High Operational Risk",
IF(Table11[[#This Row],[Risk_Score]]&gt;=0.4,"Moderate Operational Risk",
"Normal"))</f>
        <v>Normal</v>
      </c>
      <c r="U50" s="6">
        <f>ROUND(Table11[[#This Row],[Risk_Score]]-AVERAGE(Table11[Risk_Score]),2)</f>
        <v>-7.0000000000000007E-2</v>
      </c>
      <c r="V50" s="6" t="str">
        <f>IF(Table11[[#This Row],[Relative_Risk_Index]]&gt;0.1,"Above Average Risk",
IF(Table11[[#This Row],[Relative_Risk_Index]]&lt;-0.1,"Below Average Risk",
"Average Risk"))</f>
        <v>Average Risk</v>
      </c>
    </row>
    <row r="53" spans="1:22">
      <c r="A53" t="s">
        <v>27</v>
      </c>
    </row>
    <row r="54" spans="1:22">
      <c r="A54" t="s">
        <v>6</v>
      </c>
      <c r="B54">
        <f>ROUND(AVERAGE(Table11[Call_Arrivals]),2)</f>
        <v>26.87</v>
      </c>
    </row>
    <row r="55" spans="1:22">
      <c r="A55" t="s">
        <v>28</v>
      </c>
      <c r="B55">
        <f>ROUND(AVERAGE(Table11[Defects_Per_Batch]),2)</f>
        <v>2.4900000000000002</v>
      </c>
    </row>
    <row r="56" spans="1:22">
      <c r="A56" t="s">
        <v>29</v>
      </c>
      <c r="B56">
        <f>ROUND(AVERAGE(Table11[Waiting_Time_Minutes]),2)</f>
        <v>4.9000000000000004</v>
      </c>
    </row>
    <row r="58" spans="1:22">
      <c r="A58" t="s">
        <v>30</v>
      </c>
    </row>
    <row r="59" spans="1:22">
      <c r="A59" t="s">
        <v>31</v>
      </c>
      <c r="B59">
        <f>ROUND(AVERAGE(Table11[Trial_Successes])/($G$6),2)</f>
        <v>0.13</v>
      </c>
    </row>
    <row r="61" spans="1:22" ht="16.2">
      <c r="A61" t="s">
        <v>32</v>
      </c>
    </row>
    <row r="62" spans="1:22">
      <c r="A62">
        <f>ROUND((1/B56),4)</f>
        <v>0.2041</v>
      </c>
    </row>
    <row r="64" spans="1:22">
      <c r="A64" t="s">
        <v>33</v>
      </c>
    </row>
    <row r="65" spans="1:2">
      <c r="A65" s="11" t="s">
        <v>34</v>
      </c>
      <c r="B65" s="11" t="s">
        <v>35</v>
      </c>
    </row>
    <row r="66" spans="1:2">
      <c r="A66" s="12">
        <v>1</v>
      </c>
      <c r="B66">
        <f>COUNTIF(F:F,1)</f>
        <v>10</v>
      </c>
    </row>
    <row r="67" spans="1:2">
      <c r="A67" s="12">
        <v>2</v>
      </c>
      <c r="B67">
        <f>COUNTIF(F:F,2)</f>
        <v>7</v>
      </c>
    </row>
    <row r="68" spans="1:2">
      <c r="A68" s="12">
        <v>3</v>
      </c>
      <c r="B68">
        <f>COUNTIF(F:F,3)</f>
        <v>11</v>
      </c>
    </row>
    <row r="69" spans="1:2">
      <c r="A69" s="12">
        <v>4</v>
      </c>
      <c r="B69">
        <f>COUNTIF(F:F,4)</f>
        <v>7</v>
      </c>
    </row>
    <row r="70" spans="1:2">
      <c r="A70" s="12">
        <v>5</v>
      </c>
      <c r="B70">
        <f>COUNTIF(F:F,5)</f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Omotoye</dc:creator>
  <cp:lastModifiedBy>David Omotoye</cp:lastModifiedBy>
  <dcterms:created xsi:type="dcterms:W3CDTF">2026-05-18T09:37:09Z</dcterms:created>
  <dcterms:modified xsi:type="dcterms:W3CDTF">2026-05-18T09:37:31Z</dcterms:modified>
</cp:coreProperties>
</file>