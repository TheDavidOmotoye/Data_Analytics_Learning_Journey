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EFF1FE2D-5343-4619-B2E1-55237BB268C4}" xr6:coauthVersionLast="47" xr6:coauthVersionMax="47" xr10:uidLastSave="{00000000-0000-0000-0000-000000000000}"/>
  <bookViews>
    <workbookView xWindow="-108" yWindow="-108" windowWidth="23256" windowHeight="12456" xr2:uid="{CA12533F-379D-4587-8871-E89A183604ED}"/>
  </bookViews>
  <sheets>
    <sheet name="Day 15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" l="1"/>
  <c r="B45" i="1"/>
  <c r="B44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B46" i="1" s="1"/>
</calcChain>
</file>

<file path=xl/sharedStrings.xml><?xml version="1.0" encoding="utf-8"?>
<sst xmlns="http://schemas.openxmlformats.org/spreadsheetml/2006/main" count="144" uniqueCount="77">
  <si>
    <t>DAY 15: Hypothesis Testing Fundamentals</t>
  </si>
  <si>
    <t>Objective</t>
  </si>
  <si>
    <t>Test business claims using null and alternative hypotheses.</t>
  </si>
  <si>
    <t>Suggested Practice:</t>
  </si>
  <si>
    <t>Attempt the exercises independently before reviewing guided solutions.</t>
  </si>
  <si>
    <t>Branch_ID</t>
  </si>
  <si>
    <t>Branch_Type</t>
  </si>
  <si>
    <t>Avg_Daily_Sales_Before</t>
  </si>
  <si>
    <t>Avg_Daily_Sales_After</t>
  </si>
  <si>
    <t>Sales_Difference</t>
  </si>
  <si>
    <t>Diff. Indicator</t>
  </si>
  <si>
    <t>Campaign_Type</t>
  </si>
  <si>
    <t>Sample_Size</t>
  </si>
  <si>
    <t>Target_Sales</t>
  </si>
  <si>
    <t>BR-01</t>
  </si>
  <si>
    <t>Suburban</t>
  </si>
  <si>
    <t>Referral</t>
  </si>
  <si>
    <t>BR-02</t>
  </si>
  <si>
    <t>Urban</t>
  </si>
  <si>
    <t>Email</t>
  </si>
  <si>
    <t>BR-03</t>
  </si>
  <si>
    <t>Rural</t>
  </si>
  <si>
    <t>BR-04</t>
  </si>
  <si>
    <t>Influencer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</si>
  <si>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</si>
  <si>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</si>
  <si>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</si>
  <si>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</si>
  <si>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</si>
  <si>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</si>
  <si>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</si>
  <si>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</si>
  <si>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</si>
  <si>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</si>
  <si>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</si>
  <si>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</si>
  <si>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</si>
  <si>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</si>
  <si>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BR-19</t>
  </si>
  <si>
    <t>BR-20</t>
  </si>
  <si>
    <t>BR-21</t>
  </si>
  <si>
    <t>BR-22</t>
  </si>
  <si>
    <t>BR-23</t>
  </si>
  <si>
    <t>BR-24</t>
  </si>
  <si>
    <t>BR-25</t>
  </si>
  <si>
    <t>BR-26</t>
  </si>
  <si>
    <t>BR-27</t>
  </si>
  <si>
    <t>BR-28</t>
  </si>
  <si>
    <t>BR-29</t>
  </si>
  <si>
    <t>BR-30</t>
  </si>
  <si>
    <t>BR-31</t>
  </si>
  <si>
    <t>BR-32</t>
  </si>
  <si>
    <t>Discount</t>
  </si>
  <si>
    <t>BR-33</t>
  </si>
  <si>
    <t>BR-34</t>
  </si>
  <si>
    <t>BR-35</t>
  </si>
  <si>
    <t xml:space="preserve">2) </t>
  </si>
  <si>
    <t>Metric</t>
  </si>
  <si>
    <t>Average</t>
  </si>
  <si>
    <t>Avg Sales Before</t>
  </si>
  <si>
    <t>Avg Sales After</t>
  </si>
  <si>
    <t>Avg Sales Change</t>
  </si>
  <si>
    <t>3)</t>
  </si>
  <si>
    <t>Null Hypothesis (Ho)</t>
  </si>
  <si>
    <t>The campaign did not significantly increase average daily sales.</t>
  </si>
  <si>
    <t>Alternative Hypothesis (H1)</t>
  </si>
  <si>
    <t>The campaign significantly increased average daily sales.</t>
  </si>
  <si>
    <t>4)</t>
  </si>
  <si>
    <t>Paired t-Test</t>
  </si>
  <si>
    <t>5)</t>
  </si>
  <si>
    <t>DECISION: Reject the null hypothesis (H₀) because p-value &lt; 0.05</t>
  </si>
  <si>
    <t>6) Campaign Type Comparison Pivot</t>
  </si>
  <si>
    <t>Row Labels</t>
  </si>
  <si>
    <t>Average of Avg_Daily_Sales_Before</t>
  </si>
  <si>
    <t>Average of Avg_Daily_Sales_After</t>
  </si>
  <si>
    <t>Average of Sales_Difference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</si>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</sst>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motoye" refreshedDate="46150.646171527776" createdVersion="8" refreshedVersion="8" minRefreshableVersion="3" recordCount="35" xr:uid="{DD344576-9DB3-417A-A8E3-479D89AEA4EC}">
  <cacheSource type="worksheet">
    <worksheetSource name="Table6" r:id="rId2"/>
  </cacheSource>
  <cacheFields count="9">
    <cacheField name="Branch_ID" numFmtId="0">
      <sharedItems/>
    </cacheField>
    <cacheField name="Branch_Type" numFmtId="0">
      <sharedItems/>
    </cacheField>
    <cacheField name="Avg_Daily_Sales_Before" numFmtId="0">
      <sharedItems containsSemiMixedTypes="0" containsString="0" containsNumber="1" containsInteger="1" minValue="3501" maxValue="9397" count="34">
        <n v="7096"/>
        <n v="7875"/>
        <n v="4662"/>
        <n v="6243"/>
        <n v="9397"/>
        <n v="6589"/>
        <n v="6443"/>
        <n v="4848"/>
        <n v="9391"/>
        <n v="3513"/>
        <n v="3707"/>
        <n v="8148"/>
        <n v="5184"/>
        <n v="8755"/>
        <n v="7495"/>
        <n v="4876"/>
        <n v="3832"/>
        <n v="5888"/>
        <n v="7433"/>
        <n v="6540"/>
        <n v="5906"/>
        <n v="6799"/>
        <n v="8064"/>
        <n v="9385"/>
        <n v="8236"/>
        <n v="5481"/>
        <n v="6057"/>
        <n v="9157"/>
        <n v="3809"/>
        <n v="5532"/>
        <n v="7343"/>
        <n v="8853"/>
        <n v="3501"/>
        <n v="8696"/>
      </sharedItems>
    </cacheField>
    <cacheField name="Avg_Daily_Sales_After" numFmtId="0">
      <sharedItems containsSemiMixedTypes="0" containsString="0" containsNumber="1" containsInteger="1" minValue="3282" maxValue="11239" count="35">
        <n v="8383"/>
        <n v="8451"/>
        <n v="5532"/>
        <n v="6589"/>
        <n v="9755"/>
        <n v="6262"/>
        <n v="6628"/>
        <n v="4665"/>
        <n v="9646"/>
        <n v="3986"/>
        <n v="4176"/>
        <n v="8013"/>
        <n v="6381"/>
        <n v="8866"/>
        <n v="7346"/>
        <n v="5803"/>
        <n v="4561"/>
        <n v="6544"/>
        <n v="8470"/>
        <n v="7242"/>
        <n v="6577"/>
        <n v="7060"/>
        <n v="8182"/>
        <n v="11239"/>
        <n v="9160"/>
        <n v="7024"/>
        <n v="6471"/>
        <n v="9103"/>
        <n v="3282"/>
        <n v="6330"/>
        <n v="6169"/>
        <n v="7833"/>
        <n v="10391"/>
        <n v="4389"/>
        <n v="9374"/>
      </sharedItems>
    </cacheField>
    <cacheField name="Sales_Difference" numFmtId="0">
      <sharedItems containsSemiMixedTypes="0" containsString="0" containsNumber="1" containsInteger="1" minValue="-527" maxValue="1854" count="35">
        <n v="1287"/>
        <n v="576"/>
        <n v="870"/>
        <n v="346"/>
        <n v="358"/>
        <n v="-327"/>
        <n v="185"/>
        <n v="-183"/>
        <n v="255"/>
        <n v="473"/>
        <n v="469"/>
        <n v="-135"/>
        <n v="1197"/>
        <n v="111"/>
        <n v="-149"/>
        <n v="927"/>
        <n v="729"/>
        <n v="656"/>
        <n v="1037"/>
        <n v="702"/>
        <n v="671"/>
        <n v="261"/>
        <n v="118"/>
        <n v="1854"/>
        <n v="924"/>
        <n v="1543"/>
        <n v="414"/>
        <n v="-54"/>
        <n v="-527"/>
        <n v="442"/>
        <n v="637"/>
        <n v="490"/>
        <n v="1538"/>
        <n v="888"/>
        <n v="678"/>
      </sharedItems>
    </cacheField>
    <cacheField name="Diff. Indicator" numFmtId="0">
      <sharedItems/>
    </cacheField>
    <cacheField name="Campaign_Type" numFmtId="0">
      <sharedItems count="4">
        <s v="Referral"/>
        <s v="Email"/>
        <s v="Influencer"/>
        <s v="Discount"/>
      </sharedItems>
    </cacheField>
    <cacheField name="Sample_Size" numFmtId="0">
      <sharedItems containsSemiMixedTypes="0" containsString="0" containsNumber="1" containsInteger="1" minValue="20" maxValue="60"/>
    </cacheField>
    <cacheField name="Target_Sales" numFmtId="0">
      <sharedItems containsSemiMixedTypes="0" containsString="0" containsNumber="1" containsInteger="1" minValue="3781" maxValue="10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BR-01"/>
    <s v="Suburban"/>
    <x v="0"/>
    <x v="0"/>
    <x v="0"/>
    <s v="#SPILL!"/>
    <x v="0"/>
    <n v="46"/>
    <n v="7664"/>
  </r>
  <r>
    <s v="BR-02"/>
    <s v="Urban"/>
    <x v="1"/>
    <x v="1"/>
    <x v="1"/>
    <s v="#SPILL!"/>
    <x v="1"/>
    <n v="25"/>
    <n v="8505"/>
  </r>
  <r>
    <s v="BR-03"/>
    <s v="Rural"/>
    <x v="2"/>
    <x v="2"/>
    <x v="2"/>
    <s v="#SPILL!"/>
    <x v="1"/>
    <n v="43"/>
    <n v="5035"/>
  </r>
  <r>
    <s v="BR-04"/>
    <s v="Rural"/>
    <x v="3"/>
    <x v="3"/>
    <x v="3"/>
    <s v="#SPILL!"/>
    <x v="2"/>
    <n v="22"/>
    <n v="6742"/>
  </r>
  <r>
    <s v="BR-05"/>
    <s v="Suburban"/>
    <x v="4"/>
    <x v="4"/>
    <x v="4"/>
    <s v="#SPILL!"/>
    <x v="0"/>
    <n v="44"/>
    <n v="10149"/>
  </r>
  <r>
    <s v="BR-06"/>
    <s v="Rural"/>
    <x v="5"/>
    <x v="5"/>
    <x v="5"/>
    <s v="#SPILL!"/>
    <x v="1"/>
    <n v="20"/>
    <n v="7116"/>
  </r>
  <r>
    <s v="BR-07"/>
    <s v="Rural"/>
    <x v="6"/>
    <x v="6"/>
    <x v="6"/>
    <s v="#SPILL!"/>
    <x v="1"/>
    <n v="28"/>
    <n v="6958"/>
  </r>
  <r>
    <s v="BR-08"/>
    <s v="Suburban"/>
    <x v="7"/>
    <x v="7"/>
    <x v="7"/>
    <s v="#SPILL!"/>
    <x v="0"/>
    <n v="26"/>
    <n v="5236"/>
  </r>
  <r>
    <s v="BR-09"/>
    <s v="Rural"/>
    <x v="8"/>
    <x v="8"/>
    <x v="8"/>
    <s v="#SPILL!"/>
    <x v="2"/>
    <n v="53"/>
    <n v="10142"/>
  </r>
  <r>
    <s v="BR-10"/>
    <s v="Rural"/>
    <x v="9"/>
    <x v="9"/>
    <x v="9"/>
    <s v="#SPILL!"/>
    <x v="0"/>
    <n v="42"/>
    <n v="3794"/>
  </r>
  <r>
    <s v="BR-11"/>
    <s v="Rural"/>
    <x v="10"/>
    <x v="10"/>
    <x v="10"/>
    <s v="#SPILL!"/>
    <x v="0"/>
    <n v="52"/>
    <n v="4004"/>
  </r>
  <r>
    <s v="BR-12"/>
    <s v="Rural"/>
    <x v="11"/>
    <x v="11"/>
    <x v="11"/>
    <s v="#SPILL!"/>
    <x v="0"/>
    <n v="47"/>
    <n v="8800"/>
  </r>
  <r>
    <s v="BR-13"/>
    <s v="Suburban"/>
    <x v="12"/>
    <x v="12"/>
    <x v="12"/>
    <s v="#SPILL!"/>
    <x v="2"/>
    <n v="60"/>
    <n v="5599"/>
  </r>
  <r>
    <s v="BR-14"/>
    <s v="Rural"/>
    <x v="13"/>
    <x v="13"/>
    <x v="13"/>
    <s v="#SPILL!"/>
    <x v="2"/>
    <n v="58"/>
    <n v="9455"/>
  </r>
  <r>
    <s v="BR-15"/>
    <s v="Urban"/>
    <x v="14"/>
    <x v="14"/>
    <x v="14"/>
    <s v="#SPILL!"/>
    <x v="2"/>
    <n v="43"/>
    <n v="8095"/>
  </r>
  <r>
    <s v="BR-16"/>
    <s v="Urban"/>
    <x v="15"/>
    <x v="15"/>
    <x v="15"/>
    <s v="#SPILL!"/>
    <x v="0"/>
    <n v="38"/>
    <n v="5266"/>
  </r>
  <r>
    <s v="BR-17"/>
    <s v="Urban"/>
    <x v="16"/>
    <x v="16"/>
    <x v="16"/>
    <s v="#SPILL!"/>
    <x v="2"/>
    <n v="27"/>
    <n v="4139"/>
  </r>
  <r>
    <s v="BR-18"/>
    <s v="Urban"/>
    <x v="17"/>
    <x v="17"/>
    <x v="17"/>
    <s v="#SPILL!"/>
    <x v="2"/>
    <n v="35"/>
    <n v="6359"/>
  </r>
  <r>
    <s v="BR-19"/>
    <s v="Suburban"/>
    <x v="18"/>
    <x v="18"/>
    <x v="18"/>
    <s v="#SPILL!"/>
    <x v="2"/>
    <n v="39"/>
    <n v="8028"/>
  </r>
  <r>
    <s v="BR-20"/>
    <s v="Suburban"/>
    <x v="19"/>
    <x v="19"/>
    <x v="19"/>
    <s v="#SPILL!"/>
    <x v="0"/>
    <n v="37"/>
    <n v="7063"/>
  </r>
  <r>
    <s v="BR-21"/>
    <s v="Urban"/>
    <x v="20"/>
    <x v="20"/>
    <x v="20"/>
    <s v="#SPILL!"/>
    <x v="1"/>
    <n v="41"/>
    <n v="6378"/>
  </r>
  <r>
    <s v="BR-22"/>
    <s v="Urban"/>
    <x v="21"/>
    <x v="21"/>
    <x v="21"/>
    <s v="#SPILL!"/>
    <x v="0"/>
    <n v="60"/>
    <n v="7343"/>
  </r>
  <r>
    <s v="BR-23"/>
    <s v="Urban"/>
    <x v="22"/>
    <x v="22"/>
    <x v="22"/>
    <s v="#SPILL!"/>
    <x v="2"/>
    <n v="33"/>
    <n v="8709"/>
  </r>
  <r>
    <s v="BR-24"/>
    <s v="Suburban"/>
    <x v="23"/>
    <x v="23"/>
    <x v="23"/>
    <s v="#SPILL!"/>
    <x v="2"/>
    <n v="45"/>
    <n v="10136"/>
  </r>
  <r>
    <s v="BR-25"/>
    <s v="Rural"/>
    <x v="24"/>
    <x v="24"/>
    <x v="24"/>
    <s v="#SPILL!"/>
    <x v="1"/>
    <n v="60"/>
    <n v="8895"/>
  </r>
  <r>
    <s v="BR-26"/>
    <s v="Rural"/>
    <x v="25"/>
    <x v="25"/>
    <x v="25"/>
    <s v="#SPILL!"/>
    <x v="1"/>
    <n v="29"/>
    <n v="5919"/>
  </r>
  <r>
    <s v="BR-27"/>
    <s v="Rural"/>
    <x v="26"/>
    <x v="26"/>
    <x v="26"/>
    <s v="#SPILL!"/>
    <x v="2"/>
    <n v="54"/>
    <n v="6542"/>
  </r>
  <r>
    <s v="BR-28"/>
    <s v="Urban"/>
    <x v="27"/>
    <x v="27"/>
    <x v="27"/>
    <s v="#SPILL!"/>
    <x v="0"/>
    <n v="56"/>
    <n v="9890"/>
  </r>
  <r>
    <s v="BR-29"/>
    <s v="Rural"/>
    <x v="28"/>
    <x v="28"/>
    <x v="28"/>
    <s v="#SPILL!"/>
    <x v="2"/>
    <n v="29"/>
    <n v="4114"/>
  </r>
  <r>
    <s v="BR-30"/>
    <s v="Urban"/>
    <x v="17"/>
    <x v="29"/>
    <x v="29"/>
    <s v="#SPILL!"/>
    <x v="1"/>
    <n v="22"/>
    <n v="6359"/>
  </r>
  <r>
    <s v="BR-31"/>
    <s v="Rural"/>
    <x v="29"/>
    <x v="30"/>
    <x v="30"/>
    <s v="#SPILL!"/>
    <x v="0"/>
    <n v="20"/>
    <n v="5975"/>
  </r>
  <r>
    <s v="BR-32"/>
    <s v="Urban"/>
    <x v="30"/>
    <x v="31"/>
    <x v="31"/>
    <s v="#SPILL!"/>
    <x v="3"/>
    <n v="58"/>
    <n v="7930"/>
  </r>
  <r>
    <s v="BR-33"/>
    <s v="Suburban"/>
    <x v="31"/>
    <x v="32"/>
    <x v="32"/>
    <s v="#SPILL!"/>
    <x v="2"/>
    <n v="49"/>
    <n v="9561"/>
  </r>
  <r>
    <s v="BR-34"/>
    <s v="Suburban"/>
    <x v="32"/>
    <x v="33"/>
    <x v="33"/>
    <s v="#SPILL!"/>
    <x v="2"/>
    <n v="29"/>
    <n v="3781"/>
  </r>
  <r>
    <s v="BR-35"/>
    <s v="Rural"/>
    <x v="33"/>
    <x v="34"/>
    <x v="34"/>
    <s v="#SPILL!"/>
    <x v="2"/>
    <n v="57"/>
    <n v="9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4E8C-6A49-4D0E-8526-6E71980FCE5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D69" firstHeaderRow="0" firstDataRow="1" firstDataCol="1"/>
  <pivotFields count="9">
    <pivotField showAll="0"/>
    <pivotField showAll="0"/>
    <pivotField dataField="1" showAll="0" avgSubtotal="1">
      <items count="35">
        <item x="32"/>
        <item x="9"/>
        <item x="10"/>
        <item x="28"/>
        <item x="16"/>
        <item x="2"/>
        <item x="7"/>
        <item x="15"/>
        <item x="12"/>
        <item x="25"/>
        <item x="29"/>
        <item x="17"/>
        <item x="20"/>
        <item x="26"/>
        <item x="3"/>
        <item x="6"/>
        <item x="19"/>
        <item x="5"/>
        <item x="21"/>
        <item x="0"/>
        <item x="30"/>
        <item x="18"/>
        <item x="14"/>
        <item x="1"/>
        <item x="22"/>
        <item x="11"/>
        <item x="24"/>
        <item x="33"/>
        <item x="13"/>
        <item x="31"/>
        <item x="27"/>
        <item x="23"/>
        <item x="8"/>
        <item x="4"/>
        <item t="avg"/>
      </items>
    </pivotField>
    <pivotField dataField="1" showAll="0" avgSubtotal="1">
      <items count="36">
        <item x="28"/>
        <item x="9"/>
        <item x="10"/>
        <item x="33"/>
        <item x="16"/>
        <item x="7"/>
        <item x="2"/>
        <item x="15"/>
        <item x="30"/>
        <item x="5"/>
        <item x="29"/>
        <item x="12"/>
        <item x="26"/>
        <item x="17"/>
        <item x="20"/>
        <item x="3"/>
        <item x="6"/>
        <item x="25"/>
        <item x="21"/>
        <item x="19"/>
        <item x="14"/>
        <item x="31"/>
        <item x="11"/>
        <item x="22"/>
        <item x="0"/>
        <item x="1"/>
        <item x="18"/>
        <item x="13"/>
        <item x="27"/>
        <item x="24"/>
        <item x="34"/>
        <item x="8"/>
        <item x="4"/>
        <item x="32"/>
        <item x="23"/>
        <item t="avg"/>
      </items>
    </pivotField>
    <pivotField dataField="1" showAll="0">
      <items count="36">
        <item x="28"/>
        <item x="5"/>
        <item x="7"/>
        <item x="14"/>
        <item x="11"/>
        <item x="27"/>
        <item x="13"/>
        <item x="22"/>
        <item x="6"/>
        <item x="8"/>
        <item x="21"/>
        <item x="3"/>
        <item x="4"/>
        <item x="26"/>
        <item x="29"/>
        <item x="10"/>
        <item x="9"/>
        <item x="31"/>
        <item x="1"/>
        <item x="30"/>
        <item x="17"/>
        <item x="20"/>
        <item x="34"/>
        <item x="19"/>
        <item x="16"/>
        <item x="2"/>
        <item x="33"/>
        <item x="24"/>
        <item x="15"/>
        <item x="18"/>
        <item x="12"/>
        <item x="0"/>
        <item x="32"/>
        <item x="25"/>
        <item x="23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_Daily_Sales_Before" fld="2" subtotal="average" baseField="6" baseItem="0"/>
    <dataField name="Average of Avg_Daily_Sales_After" fld="3" subtotal="average" baseField="6" baseItem="0"/>
    <dataField name="Average of Sales_Difference" fld="4" subtotal="average" baseField="6" baseItem="0"/>
  </dataFields>
  <formats count="4">
    <format dxfId="11">
      <pivotArea collapsedLevelsAreSubtotals="1" fieldPosition="0">
        <references count="2">
          <reference field="4294967294" count="1" selected="0">
            <x v="0"/>
          </reference>
          <reference field="6" count="2">
            <x v="2"/>
            <x v="3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6" count="2">
            <x v="2"/>
            <x v="3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6" count="2">
            <x v="2"/>
            <x v="3"/>
          </reference>
        </references>
      </pivotArea>
    </format>
    <format dxfId="14">
      <pivotArea field="6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081FA-835D-45B3-9C55-20815E8E76FB}" name="Table6" displayName="Table6" ref="A5:I40" totalsRowShown="0" headerRowDxfId="10" dataDxfId="9">
  <autoFilter ref="A5:I40" xr:uid="{53717720-F3B5-48FD-AC88-C5EFB599D14C}"/>
  <tableColumns count="9">
    <tableColumn id="1" xr3:uid="{6DE20EB7-06A6-4665-9105-952E5638C2E7}" name="Branch_ID" dataDxfId="8"/>
    <tableColumn id="2" xr3:uid="{E1724EC9-4539-4B33-8C79-F6E39EAFCE76}" name="Branch_Type" dataDxfId="7"/>
    <tableColumn id="3" xr3:uid="{FF2DF762-ED1B-489B-B2D4-BED7EA0847AC}" name="Avg_Daily_Sales_Before" dataDxfId="6"/>
    <tableColumn id="4" xr3:uid="{DCEC9D64-5069-4006-8380-2CFBD043EAF3}" name="Avg_Daily_Sales_After" dataDxfId="5"/>
    <tableColumn id="8" xr3:uid="{FF402071-2DF0-4AFD-BBEE-059D186AAB45}" name="Sales_Difference" dataDxfId="4">
      <calculatedColumnFormula>Table6[[#This Row],[Avg_Daily_Sales_After]]-Table6[[#This Row],[Avg_Daily_Sales_Before]]</calculatedColumnFormula>
    </tableColumn>
    <tableColumn id="9" xr3:uid="{B09AEB5D-7AB4-4E8C-960A-3A66CF8BCDF4}" name="Diff. Indicator" dataDxfId="3">
      <calculatedColumnFormula>IF(Table6[[#This Row],[Avg_Daily_Sales_After]]&gt;Table6[[#This Row],[Avg_Daily_Sales_Before]],"+VE","-VE")</calculatedColumnFormula>
    </tableColumn>
    <tableColumn id="5" xr3:uid="{93EDA860-8676-45E8-8B3A-D5C04E408800}" name="Campaign_Type" dataDxfId="2"/>
    <tableColumn id="6" xr3:uid="{721394DD-10A4-4FFD-A135-F3E8D35C8192}" name="Sample_Size" dataDxfId="1"/>
    <tableColumn id="7" xr3:uid="{40845E7B-04DA-43F7-9863-4DEC4FF531C0}" name="Target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ABCB-912A-4FF6-9880-D1C11BAD56DE}">
  <dimension ref="A1:I69"/>
  <sheetViews>
    <sheetView tabSelected="1" workbookViewId="0">
      <selection activeCell="C73" sqref="C73"/>
    </sheetView>
  </sheetViews>
  <sheetFormatPr defaultRowHeight="13.8"/>
  <cols>
    <col min="1" max="1" width="13.09765625" bestFit="1" customWidth="1"/>
    <col min="2" max="2" width="33.09765625" bestFit="1" customWidth="1"/>
    <col min="3" max="3" width="31.5" bestFit="1" customWidth="1"/>
    <col min="4" max="4" width="26.296875" bestFit="1" customWidth="1"/>
    <col min="5" max="5" width="28" bestFit="1" customWidth="1"/>
    <col min="6" max="6" width="29.69921875" bestFit="1" customWidth="1"/>
    <col min="7" max="7" width="28" bestFit="1" customWidth="1"/>
    <col min="8" max="8" width="29.69921875" bestFit="1" customWidth="1"/>
    <col min="9" max="9" width="28" bestFit="1" customWidth="1"/>
    <col min="10" max="10" width="29.69921875" bestFit="1" customWidth="1"/>
    <col min="11" max="11" width="28" bestFit="1" customWidth="1"/>
    <col min="12" max="12" width="29.69921875" bestFit="1" customWidth="1"/>
    <col min="13" max="13" width="28" bestFit="1" customWidth="1"/>
    <col min="14" max="14" width="29.69921875" bestFit="1" customWidth="1"/>
    <col min="15" max="15" width="28" bestFit="1" customWidth="1"/>
    <col min="16" max="16" width="29.69921875" bestFit="1" customWidth="1"/>
    <col min="17" max="17" width="28" bestFit="1" customWidth="1"/>
    <col min="18" max="18" width="29.69921875" bestFit="1" customWidth="1"/>
    <col min="19" max="19" width="28" bestFit="1" customWidth="1"/>
    <col min="20" max="20" width="29.69921875" bestFit="1" customWidth="1"/>
    <col min="21" max="21" width="28" bestFit="1" customWidth="1"/>
    <col min="22" max="22" width="29.69921875" bestFit="1" customWidth="1"/>
    <col min="23" max="23" width="28" bestFit="1" customWidth="1"/>
    <col min="24" max="24" width="29.69921875" bestFit="1" customWidth="1"/>
    <col min="25" max="25" width="28" bestFit="1" customWidth="1"/>
    <col min="26" max="26" width="29.69921875" bestFit="1" customWidth="1"/>
    <col min="27" max="27" width="28" bestFit="1" customWidth="1"/>
    <col min="28" max="28" width="29.69921875" bestFit="1" customWidth="1"/>
    <col min="29" max="29" width="28" bestFit="1" customWidth="1"/>
    <col min="30" max="30" width="29.69921875" bestFit="1" customWidth="1"/>
    <col min="31" max="31" width="28" bestFit="1" customWidth="1"/>
    <col min="32" max="32" width="29.69921875" bestFit="1" customWidth="1"/>
    <col min="33" max="33" width="28" bestFit="1" customWidth="1"/>
    <col min="34" max="34" width="29.69921875" bestFit="1" customWidth="1"/>
    <col min="35" max="35" width="28" bestFit="1" customWidth="1"/>
    <col min="36" max="36" width="29.69921875" bestFit="1" customWidth="1"/>
    <col min="37" max="37" width="28" bestFit="1" customWidth="1"/>
    <col min="38" max="38" width="29.69921875" bestFit="1" customWidth="1"/>
    <col min="39" max="39" width="28" bestFit="1" customWidth="1"/>
    <col min="40" max="40" width="29.69921875" bestFit="1" customWidth="1"/>
    <col min="41" max="41" width="28" bestFit="1" customWidth="1"/>
    <col min="42" max="42" width="29.69921875" bestFit="1" customWidth="1"/>
    <col min="43" max="43" width="28" bestFit="1" customWidth="1"/>
    <col min="44" max="44" width="29.69921875" bestFit="1" customWidth="1"/>
    <col min="45" max="45" width="28" bestFit="1" customWidth="1"/>
    <col min="46" max="46" width="29.69921875" bestFit="1" customWidth="1"/>
    <col min="47" max="47" width="28" bestFit="1" customWidth="1"/>
    <col min="48" max="48" width="29.69921875" bestFit="1" customWidth="1"/>
    <col min="49" max="49" width="28" bestFit="1" customWidth="1"/>
    <col min="50" max="50" width="29.69921875" bestFit="1" customWidth="1"/>
    <col min="51" max="51" width="28" bestFit="1" customWidth="1"/>
    <col min="52" max="52" width="29.69921875" bestFit="1" customWidth="1"/>
    <col min="53" max="53" width="28" bestFit="1" customWidth="1"/>
    <col min="54" max="54" width="29.69921875" bestFit="1" customWidth="1"/>
    <col min="55" max="55" width="28" bestFit="1" customWidth="1"/>
    <col min="56" max="56" width="29.69921875" bestFit="1" customWidth="1"/>
    <col min="57" max="57" width="28" bestFit="1" customWidth="1"/>
    <col min="58" max="58" width="29.69921875" bestFit="1" customWidth="1"/>
    <col min="59" max="59" width="28" bestFit="1" customWidth="1"/>
    <col min="60" max="60" width="29.69921875" bestFit="1" customWidth="1"/>
    <col min="61" max="61" width="28" bestFit="1" customWidth="1"/>
    <col min="62" max="62" width="29.69921875" bestFit="1" customWidth="1"/>
    <col min="63" max="63" width="28" bestFit="1" customWidth="1"/>
    <col min="64" max="64" width="29.69921875" bestFit="1" customWidth="1"/>
    <col min="65" max="65" width="28" bestFit="1" customWidth="1"/>
    <col min="66" max="66" width="29.69921875" bestFit="1" customWidth="1"/>
    <col min="67" max="67" width="28" bestFit="1" customWidth="1"/>
    <col min="68" max="68" width="29.69921875" bestFit="1" customWidth="1"/>
    <col min="69" max="69" width="28" bestFit="1" customWidth="1"/>
    <col min="70" max="70" width="29.69921875" bestFit="1" customWidth="1"/>
    <col min="71" max="71" width="28" bestFit="1" customWidth="1"/>
    <col min="72" max="72" width="34.59765625" bestFit="1" customWidth="1"/>
    <col min="73" max="73" width="32.8984375" bestFit="1" customWidth="1"/>
    <col min="74" max="75" width="12.796875" bestFit="1" customWidth="1"/>
    <col min="76" max="76" width="6.59765625" bestFit="1" customWidth="1"/>
    <col min="77" max="78" width="12.796875" bestFit="1" customWidth="1"/>
    <col min="79" max="79" width="6.59765625" bestFit="1" customWidth="1"/>
    <col min="80" max="81" width="12.796875" bestFit="1" customWidth="1"/>
    <col min="82" max="82" width="6.59765625" bestFit="1" customWidth="1"/>
    <col min="83" max="84" width="12.796875" bestFit="1" customWidth="1"/>
    <col min="85" max="85" width="6.59765625" bestFit="1" customWidth="1"/>
    <col min="86" max="87" width="12.796875" bestFit="1" customWidth="1"/>
    <col min="88" max="88" width="6.59765625" bestFit="1" customWidth="1"/>
    <col min="89" max="90" width="12.796875" bestFit="1" customWidth="1"/>
    <col min="91" max="91" width="7.59765625" bestFit="1" customWidth="1"/>
    <col min="92" max="92" width="13.8984375" bestFit="1" customWidth="1"/>
    <col min="93" max="93" width="12.796875" bestFit="1" customWidth="1"/>
    <col min="94" max="94" width="6.59765625" bestFit="1" customWidth="1"/>
    <col min="95" max="96" width="12.796875" bestFit="1" customWidth="1"/>
    <col min="97" max="97" width="7.59765625" bestFit="1" customWidth="1"/>
    <col min="98" max="98" width="13.8984375" bestFit="1" customWidth="1"/>
    <col min="99" max="99" width="12.796875" bestFit="1" customWidth="1"/>
    <col min="100" max="100" width="6.59765625" bestFit="1" customWidth="1"/>
    <col min="101" max="102" width="12.796875" bestFit="1" customWidth="1"/>
    <col min="103" max="103" width="6.59765625" bestFit="1" customWidth="1"/>
    <col min="104" max="105" width="12.796875" bestFit="1" customWidth="1"/>
    <col min="106" max="106" width="11" bestFit="1" customWidth="1"/>
  </cols>
  <sheetData>
    <row r="1" spans="1:9" ht="17.39999999999999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7.6">
      <c r="A2" s="3" t="s">
        <v>1</v>
      </c>
      <c r="B2" s="3" t="s">
        <v>2</v>
      </c>
      <c r="C2" s="4"/>
      <c r="D2" s="4"/>
      <c r="E2" s="4"/>
      <c r="F2" s="4"/>
      <c r="G2" s="4"/>
      <c r="H2" s="4"/>
      <c r="I2" s="4"/>
    </row>
    <row r="3" spans="1:9" ht="41.4">
      <c r="A3" s="3" t="s">
        <v>3</v>
      </c>
      <c r="B3" s="3" t="s">
        <v>4</v>
      </c>
      <c r="C3" s="4"/>
      <c r="D3" s="4"/>
      <c r="E3" s="4"/>
      <c r="F3" s="4"/>
      <c r="G3" s="4"/>
      <c r="H3" s="4"/>
      <c r="I3" s="4"/>
    </row>
    <row r="4" spans="1:9">
      <c r="A4" s="5"/>
      <c r="B4" s="5"/>
      <c r="C4" s="4"/>
      <c r="D4" s="4"/>
      <c r="E4" s="4"/>
      <c r="F4" s="4"/>
      <c r="G4" s="4"/>
      <c r="H4" s="4"/>
      <c r="I4" s="4"/>
    </row>
    <row r="5" spans="1:9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spans="1:9">
      <c r="A6" s="4" t="s">
        <v>14</v>
      </c>
      <c r="B6" s="4" t="s">
        <v>15</v>
      </c>
      <c r="C6" s="4">
        <v>7096</v>
      </c>
      <c r="D6" s="4">
        <v>8383</v>
      </c>
      <c r="E6" s="4">
        <f>Table6[[#This Row],[Avg_Daily_Sales_After]]-Table6[[#This Row],[Avg_Daily_Sales_Before]]</f>
        <v>1287</v>
      </c>
      <c r="F6" s="4" t="str">
        <f>IF(Table6[[#This Row],[Avg_Daily_Sales_After]]&gt;Table6[[#This Row],[Avg_Daily_Sales_Before]],"+VE","-VE")</f>
        <v>+VE</v>
      </c>
      <c r="G6" s="4" t="s">
        <v>16</v>
      </c>
      <c r="H6" s="4">
        <v>46</v>
      </c>
      <c r="I6" s="4">
        <v>7664</v>
      </c>
    </row>
    <row r="7" spans="1:9">
      <c r="A7" s="4" t="s">
        <v>17</v>
      </c>
      <c r="B7" s="4" t="s">
        <v>18</v>
      </c>
      <c r="C7" s="4">
        <v>7875</v>
      </c>
      <c r="D7" s="4">
        <v>8451</v>
      </c>
      <c r="E7" s="4">
        <f>Table6[[#This Row],[Avg_Daily_Sales_After]]-Table6[[#This Row],[Avg_Daily_Sales_Before]]</f>
        <v>576</v>
      </c>
      <c r="F7" s="4" t="str">
        <f>IF(Table6[[#This Row],[Avg_Daily_Sales_After]]&gt;Table6[[#This Row],[Avg_Daily_Sales_Before]],"+VE","-VE")</f>
        <v>+VE</v>
      </c>
      <c r="G7" s="4" t="s">
        <v>19</v>
      </c>
      <c r="H7" s="4">
        <v>25</v>
      </c>
      <c r="I7" s="4">
        <v>8505</v>
      </c>
    </row>
    <row r="8" spans="1:9">
      <c r="A8" s="4" t="s">
        <v>20</v>
      </c>
      <c r="B8" s="4" t="s">
        <v>21</v>
      </c>
      <c r="C8" s="4">
        <v>4662</v>
      </c>
      <c r="D8" s="4">
        <v>5532</v>
      </c>
      <c r="E8" s="4">
        <f>Table6[[#This Row],[Avg_Daily_Sales_After]]-Table6[[#This Row],[Avg_Daily_Sales_Before]]</f>
        <v>870</v>
      </c>
      <c r="F8" s="4" t="str">
        <f>IF(Table6[[#This Row],[Avg_Daily_Sales_After]]&gt;Table6[[#This Row],[Avg_Daily_Sales_Before]],"+VE","-VE")</f>
        <v>+VE</v>
      </c>
      <c r="G8" s="4" t="s">
        <v>19</v>
      </c>
      <c r="H8" s="4">
        <v>43</v>
      </c>
      <c r="I8" s="4">
        <v>5035</v>
      </c>
    </row>
    <row r="9" spans="1:9">
      <c r="A9" s="4" t="s">
        <v>22</v>
      </c>
      <c r="B9" s="4" t="s">
        <v>21</v>
      </c>
      <c r="C9" s="4">
        <v>6243</v>
      </c>
      <c r="D9" s="4">
        <v>6589</v>
      </c>
      <c r="E9" s="4">
        <f>Table6[[#This Row],[Avg_Daily_Sales_After]]-Table6[[#This Row],[Avg_Daily_Sales_Before]]</f>
        <v>346</v>
      </c>
      <c r="F9" s="4" t="str">
        <f>IF(Table6[[#This Row],[Avg_Daily_Sales_After]]&gt;Table6[[#This Row],[Avg_Daily_Sales_Before]],"+VE","-VE")</f>
        <v>+VE</v>
      </c>
      <c r="G9" s="4" t="s">
        <v>23</v>
      </c>
      <c r="H9" s="4">
        <v>22</v>
      </c>
      <c r="I9" s="4">
        <v>6742</v>
      </c>
    </row>
    <row r="10" spans="1:9">
      <c r="A10" s="4" t="s">
        <v>24</v>
      </c>
      <c r="B10" s="4" t="s">
        <v>15</v>
      </c>
      <c r="C10" s="4">
        <v>9397</v>
      </c>
      <c r="D10" s="4">
        <v>9755</v>
      </c>
      <c r="E10" s="4">
        <f>Table6[[#This Row],[Avg_Daily_Sales_After]]-Table6[[#This Row],[Avg_Daily_Sales_Before]]</f>
        <v>358</v>
      </c>
      <c r="F10" s="4" t="str">
        <f>IF(Table6[[#This Row],[Avg_Daily_Sales_After]]&gt;Table6[[#This Row],[Avg_Daily_Sales_Before]],"+VE","-VE")</f>
        <v>+VE</v>
      </c>
      <c r="G10" s="4" t="s">
        <v>16</v>
      </c>
      <c r="H10" s="4">
        <v>44</v>
      </c>
      <c r="I10" s="4">
        <v>10149</v>
      </c>
    </row>
    <row r="11" spans="1:9">
      <c r="A11" s="4" t="s">
        <v>25</v>
      </c>
      <c r="B11" s="4" t="s">
        <v>21</v>
      </c>
      <c r="C11" s="4">
        <v>6589</v>
      </c>
      <c r="D11" s="4">
        <v>6262</v>
      </c>
      <c r="E11" s="4">
        <f>Table6[[#This Row],[Avg_Daily_Sales_After]]-Table6[[#This Row],[Avg_Daily_Sales_Before]]</f>
        <v>-327</v>
      </c>
      <c r="F11" s="4" t="str">
        <f>IF(Table6[[#This Row],[Avg_Daily_Sales_After]]&gt;Table6[[#This Row],[Avg_Daily_Sales_Before]],"+VE","-VE")</f>
        <v>-VE</v>
      </c>
      <c r="G11" s="4" t="s">
        <v>19</v>
      </c>
      <c r="H11" s="4">
        <v>20</v>
      </c>
      <c r="I11" s="4">
        <v>7116</v>
      </c>
    </row>
    <row r="12" spans="1:9">
      <c r="A12" s="4" t="s">
        <v>26</v>
      </c>
      <c r="B12" s="4" t="s">
        <v>21</v>
      </c>
      <c r="C12" s="4">
        <v>6443</v>
      </c>
      <c r="D12" s="4">
        <v>6628</v>
      </c>
      <c r="E12" s="4">
        <f>Table6[[#This Row],[Avg_Daily_Sales_After]]-Table6[[#This Row],[Avg_Daily_Sales_Before]]</f>
        <v>185</v>
      </c>
      <c r="F12" s="4" t="str">
        <f>IF(Table6[[#This Row],[Avg_Daily_Sales_After]]&gt;Table6[[#This Row],[Avg_Daily_Sales_Before]],"+VE","-VE")</f>
        <v>+VE</v>
      </c>
      <c r="G12" s="4" t="s">
        <v>19</v>
      </c>
      <c r="H12" s="4">
        <v>28</v>
      </c>
      <c r="I12" s="4">
        <v>6958</v>
      </c>
    </row>
    <row r="13" spans="1:9">
      <c r="A13" s="4" t="s">
        <v>27</v>
      </c>
      <c r="B13" s="4" t="s">
        <v>15</v>
      </c>
      <c r="C13" s="4">
        <v>4848</v>
      </c>
      <c r="D13" s="4">
        <v>4665</v>
      </c>
      <c r="E13" s="4">
        <f>Table6[[#This Row],[Avg_Daily_Sales_After]]-Table6[[#This Row],[Avg_Daily_Sales_Before]]</f>
        <v>-183</v>
      </c>
      <c r="F13" s="4" t="str">
        <f>IF(Table6[[#This Row],[Avg_Daily_Sales_After]]&gt;Table6[[#This Row],[Avg_Daily_Sales_Before]],"+VE","-VE")</f>
        <v>-VE</v>
      </c>
      <c r="G13" s="4" t="s">
        <v>16</v>
      </c>
      <c r="H13" s="4">
        <v>26</v>
      </c>
      <c r="I13" s="4">
        <v>5236</v>
      </c>
    </row>
    <row r="14" spans="1:9">
      <c r="A14" s="4" t="s">
        <v>28</v>
      </c>
      <c r="B14" s="4" t="s">
        <v>21</v>
      </c>
      <c r="C14" s="4">
        <v>9391</v>
      </c>
      <c r="D14" s="4">
        <v>9646</v>
      </c>
      <c r="E14" s="4">
        <f>Table6[[#This Row],[Avg_Daily_Sales_After]]-Table6[[#This Row],[Avg_Daily_Sales_Before]]</f>
        <v>255</v>
      </c>
      <c r="F14" s="4" t="str">
        <f>IF(Table6[[#This Row],[Avg_Daily_Sales_After]]&gt;Table6[[#This Row],[Avg_Daily_Sales_Before]],"+VE","-VE")</f>
        <v>+VE</v>
      </c>
      <c r="G14" s="4" t="s">
        <v>23</v>
      </c>
      <c r="H14" s="4">
        <v>53</v>
      </c>
      <c r="I14" s="4">
        <v>10142</v>
      </c>
    </row>
    <row r="15" spans="1:9">
      <c r="A15" s="4" t="s">
        <v>29</v>
      </c>
      <c r="B15" s="4" t="s">
        <v>21</v>
      </c>
      <c r="C15" s="4">
        <v>3513</v>
      </c>
      <c r="D15" s="4">
        <v>3986</v>
      </c>
      <c r="E15" s="4">
        <f>Table6[[#This Row],[Avg_Daily_Sales_After]]-Table6[[#This Row],[Avg_Daily_Sales_Before]]</f>
        <v>473</v>
      </c>
      <c r="F15" s="4" t="str">
        <f>IF(Table6[[#This Row],[Avg_Daily_Sales_After]]&gt;Table6[[#This Row],[Avg_Daily_Sales_Before]],"+VE","-VE")</f>
        <v>+VE</v>
      </c>
      <c r="G15" s="4" t="s">
        <v>16</v>
      </c>
      <c r="H15" s="4">
        <v>42</v>
      </c>
      <c r="I15" s="4">
        <v>3794</v>
      </c>
    </row>
    <row r="16" spans="1:9">
      <c r="A16" s="4" t="s">
        <v>30</v>
      </c>
      <c r="B16" s="4" t="s">
        <v>21</v>
      </c>
      <c r="C16" s="4">
        <v>3707</v>
      </c>
      <c r="D16" s="4">
        <v>4176</v>
      </c>
      <c r="E16" s="4">
        <f>Table6[[#This Row],[Avg_Daily_Sales_After]]-Table6[[#This Row],[Avg_Daily_Sales_Before]]</f>
        <v>469</v>
      </c>
      <c r="F16" s="4" t="str">
        <f>IF(Table6[[#This Row],[Avg_Daily_Sales_After]]&gt;Table6[[#This Row],[Avg_Daily_Sales_Before]],"+VE","-VE")</f>
        <v>+VE</v>
      </c>
      <c r="G16" s="4" t="s">
        <v>16</v>
      </c>
      <c r="H16" s="4">
        <v>52</v>
      </c>
      <c r="I16" s="4">
        <v>4004</v>
      </c>
    </row>
    <row r="17" spans="1:9">
      <c r="A17" s="4" t="s">
        <v>31</v>
      </c>
      <c r="B17" s="4" t="s">
        <v>21</v>
      </c>
      <c r="C17" s="4">
        <v>8148</v>
      </c>
      <c r="D17" s="4">
        <v>8013</v>
      </c>
      <c r="E17" s="4">
        <f>Table6[[#This Row],[Avg_Daily_Sales_After]]-Table6[[#This Row],[Avg_Daily_Sales_Before]]</f>
        <v>-135</v>
      </c>
      <c r="F17" s="4" t="str">
        <f>IF(Table6[[#This Row],[Avg_Daily_Sales_After]]&gt;Table6[[#This Row],[Avg_Daily_Sales_Before]],"+VE","-VE")</f>
        <v>-VE</v>
      </c>
      <c r="G17" s="4" t="s">
        <v>16</v>
      </c>
      <c r="H17" s="4">
        <v>47</v>
      </c>
      <c r="I17" s="4">
        <v>8800</v>
      </c>
    </row>
    <row r="18" spans="1:9">
      <c r="A18" s="4" t="s">
        <v>32</v>
      </c>
      <c r="B18" s="4" t="s">
        <v>15</v>
      </c>
      <c r="C18" s="4">
        <v>5184</v>
      </c>
      <c r="D18" s="4">
        <v>6381</v>
      </c>
      <c r="E18" s="4">
        <f>Table6[[#This Row],[Avg_Daily_Sales_After]]-Table6[[#This Row],[Avg_Daily_Sales_Before]]</f>
        <v>1197</v>
      </c>
      <c r="F18" s="4" t="str">
        <f>IF(Table6[[#This Row],[Avg_Daily_Sales_After]]&gt;Table6[[#This Row],[Avg_Daily_Sales_Before]],"+VE","-VE")</f>
        <v>+VE</v>
      </c>
      <c r="G18" s="4" t="s">
        <v>23</v>
      </c>
      <c r="H18" s="4">
        <v>60</v>
      </c>
      <c r="I18" s="4">
        <v>5599</v>
      </c>
    </row>
    <row r="19" spans="1:9">
      <c r="A19" s="4" t="s">
        <v>33</v>
      </c>
      <c r="B19" s="4" t="s">
        <v>21</v>
      </c>
      <c r="C19" s="4">
        <v>8755</v>
      </c>
      <c r="D19" s="4">
        <v>8866</v>
      </c>
      <c r="E19" s="4">
        <f>Table6[[#This Row],[Avg_Daily_Sales_After]]-Table6[[#This Row],[Avg_Daily_Sales_Before]]</f>
        <v>111</v>
      </c>
      <c r="F19" s="4" t="str">
        <f>IF(Table6[[#This Row],[Avg_Daily_Sales_After]]&gt;Table6[[#This Row],[Avg_Daily_Sales_Before]],"+VE","-VE")</f>
        <v>+VE</v>
      </c>
      <c r="G19" s="4" t="s">
        <v>23</v>
      </c>
      <c r="H19" s="4">
        <v>58</v>
      </c>
      <c r="I19" s="4">
        <v>9455</v>
      </c>
    </row>
    <row r="20" spans="1:9">
      <c r="A20" s="4" t="s">
        <v>34</v>
      </c>
      <c r="B20" s="4" t="s">
        <v>18</v>
      </c>
      <c r="C20" s="4">
        <v>7495</v>
      </c>
      <c r="D20" s="4">
        <v>7346</v>
      </c>
      <c r="E20" s="4">
        <f>Table6[[#This Row],[Avg_Daily_Sales_After]]-Table6[[#This Row],[Avg_Daily_Sales_Before]]</f>
        <v>-149</v>
      </c>
      <c r="F20" s="4" t="str">
        <f>IF(Table6[[#This Row],[Avg_Daily_Sales_After]]&gt;Table6[[#This Row],[Avg_Daily_Sales_Before]],"+VE","-VE")</f>
        <v>-VE</v>
      </c>
      <c r="G20" s="4" t="s">
        <v>23</v>
      </c>
      <c r="H20" s="4">
        <v>43</v>
      </c>
      <c r="I20" s="4">
        <v>8095</v>
      </c>
    </row>
    <row r="21" spans="1:9">
      <c r="A21" s="4" t="s">
        <v>35</v>
      </c>
      <c r="B21" s="4" t="s">
        <v>18</v>
      </c>
      <c r="C21" s="4">
        <v>4876</v>
      </c>
      <c r="D21" s="4">
        <v>5803</v>
      </c>
      <c r="E21" s="4">
        <f>Table6[[#This Row],[Avg_Daily_Sales_After]]-Table6[[#This Row],[Avg_Daily_Sales_Before]]</f>
        <v>927</v>
      </c>
      <c r="F21" s="4" t="str">
        <f>IF(Table6[[#This Row],[Avg_Daily_Sales_After]]&gt;Table6[[#This Row],[Avg_Daily_Sales_Before]],"+VE","-VE")</f>
        <v>+VE</v>
      </c>
      <c r="G21" s="4" t="s">
        <v>16</v>
      </c>
      <c r="H21" s="4">
        <v>38</v>
      </c>
      <c r="I21" s="4">
        <v>5266</v>
      </c>
    </row>
    <row r="22" spans="1:9">
      <c r="A22" s="4" t="s">
        <v>36</v>
      </c>
      <c r="B22" s="4" t="s">
        <v>18</v>
      </c>
      <c r="C22" s="4">
        <v>3832</v>
      </c>
      <c r="D22" s="4">
        <v>4561</v>
      </c>
      <c r="E22" s="4">
        <f>Table6[[#This Row],[Avg_Daily_Sales_After]]-Table6[[#This Row],[Avg_Daily_Sales_Before]]</f>
        <v>729</v>
      </c>
      <c r="F22" s="4" t="str">
        <f>IF(Table6[[#This Row],[Avg_Daily_Sales_After]]&gt;Table6[[#This Row],[Avg_Daily_Sales_Before]],"+VE","-VE")</f>
        <v>+VE</v>
      </c>
      <c r="G22" s="4" t="s">
        <v>23</v>
      </c>
      <c r="H22" s="4">
        <v>27</v>
      </c>
      <c r="I22" s="4">
        <v>4139</v>
      </c>
    </row>
    <row r="23" spans="1:9">
      <c r="A23" s="4" t="s">
        <v>37</v>
      </c>
      <c r="B23" s="4" t="s">
        <v>18</v>
      </c>
      <c r="C23" s="4">
        <v>5888</v>
      </c>
      <c r="D23" s="4">
        <v>6544</v>
      </c>
      <c r="E23" s="4">
        <f>Table6[[#This Row],[Avg_Daily_Sales_After]]-Table6[[#This Row],[Avg_Daily_Sales_Before]]</f>
        <v>656</v>
      </c>
      <c r="F23" s="4" t="str">
        <f>IF(Table6[[#This Row],[Avg_Daily_Sales_After]]&gt;Table6[[#This Row],[Avg_Daily_Sales_Before]],"+VE","-VE")</f>
        <v>+VE</v>
      </c>
      <c r="G23" s="4" t="s">
        <v>23</v>
      </c>
      <c r="H23" s="4">
        <v>35</v>
      </c>
      <c r="I23" s="4">
        <v>6359</v>
      </c>
    </row>
    <row r="24" spans="1:9">
      <c r="A24" s="4" t="s">
        <v>38</v>
      </c>
      <c r="B24" s="4" t="s">
        <v>15</v>
      </c>
      <c r="C24" s="4">
        <v>7433</v>
      </c>
      <c r="D24" s="4">
        <v>8470</v>
      </c>
      <c r="E24" s="4">
        <f>Table6[[#This Row],[Avg_Daily_Sales_After]]-Table6[[#This Row],[Avg_Daily_Sales_Before]]</f>
        <v>1037</v>
      </c>
      <c r="F24" s="4" t="str">
        <f>IF(Table6[[#This Row],[Avg_Daily_Sales_After]]&gt;Table6[[#This Row],[Avg_Daily_Sales_Before]],"+VE","-VE")</f>
        <v>+VE</v>
      </c>
      <c r="G24" s="4" t="s">
        <v>23</v>
      </c>
      <c r="H24" s="4">
        <v>39</v>
      </c>
      <c r="I24" s="4">
        <v>8028</v>
      </c>
    </row>
    <row r="25" spans="1:9">
      <c r="A25" s="4" t="s">
        <v>39</v>
      </c>
      <c r="B25" s="4" t="s">
        <v>15</v>
      </c>
      <c r="C25" s="4">
        <v>6540</v>
      </c>
      <c r="D25" s="4">
        <v>7242</v>
      </c>
      <c r="E25" s="4">
        <f>Table6[[#This Row],[Avg_Daily_Sales_After]]-Table6[[#This Row],[Avg_Daily_Sales_Before]]</f>
        <v>702</v>
      </c>
      <c r="F25" s="4" t="str">
        <f>IF(Table6[[#This Row],[Avg_Daily_Sales_After]]&gt;Table6[[#This Row],[Avg_Daily_Sales_Before]],"+VE","-VE")</f>
        <v>+VE</v>
      </c>
      <c r="G25" s="4" t="s">
        <v>16</v>
      </c>
      <c r="H25" s="4">
        <v>37</v>
      </c>
      <c r="I25" s="4">
        <v>7063</v>
      </c>
    </row>
    <row r="26" spans="1:9">
      <c r="A26" s="4" t="s">
        <v>40</v>
      </c>
      <c r="B26" s="4" t="s">
        <v>18</v>
      </c>
      <c r="C26" s="4">
        <v>5906</v>
      </c>
      <c r="D26" s="4">
        <v>6577</v>
      </c>
      <c r="E26" s="4">
        <f>Table6[[#This Row],[Avg_Daily_Sales_After]]-Table6[[#This Row],[Avg_Daily_Sales_Before]]</f>
        <v>671</v>
      </c>
      <c r="F26" s="4" t="str">
        <f>IF(Table6[[#This Row],[Avg_Daily_Sales_After]]&gt;Table6[[#This Row],[Avg_Daily_Sales_Before]],"+VE","-VE")</f>
        <v>+VE</v>
      </c>
      <c r="G26" s="4" t="s">
        <v>19</v>
      </c>
      <c r="H26" s="4">
        <v>41</v>
      </c>
      <c r="I26" s="4">
        <v>6378</v>
      </c>
    </row>
    <row r="27" spans="1:9">
      <c r="A27" s="4" t="s">
        <v>41</v>
      </c>
      <c r="B27" s="4" t="s">
        <v>18</v>
      </c>
      <c r="C27" s="4">
        <v>6799</v>
      </c>
      <c r="D27" s="4">
        <v>7060</v>
      </c>
      <c r="E27" s="4">
        <f>Table6[[#This Row],[Avg_Daily_Sales_After]]-Table6[[#This Row],[Avg_Daily_Sales_Before]]</f>
        <v>261</v>
      </c>
      <c r="F27" s="4" t="str">
        <f>IF(Table6[[#This Row],[Avg_Daily_Sales_After]]&gt;Table6[[#This Row],[Avg_Daily_Sales_Before]],"+VE","-VE")</f>
        <v>+VE</v>
      </c>
      <c r="G27" s="4" t="s">
        <v>16</v>
      </c>
      <c r="H27" s="4">
        <v>60</v>
      </c>
      <c r="I27" s="4">
        <v>7343</v>
      </c>
    </row>
    <row r="28" spans="1:9">
      <c r="A28" s="4" t="s">
        <v>42</v>
      </c>
      <c r="B28" s="4" t="s">
        <v>18</v>
      </c>
      <c r="C28" s="4">
        <v>8064</v>
      </c>
      <c r="D28" s="4">
        <v>8182</v>
      </c>
      <c r="E28" s="4">
        <f>Table6[[#This Row],[Avg_Daily_Sales_After]]-Table6[[#This Row],[Avg_Daily_Sales_Before]]</f>
        <v>118</v>
      </c>
      <c r="F28" s="4" t="str">
        <f>IF(Table6[[#This Row],[Avg_Daily_Sales_After]]&gt;Table6[[#This Row],[Avg_Daily_Sales_Before]],"+VE","-VE")</f>
        <v>+VE</v>
      </c>
      <c r="G28" s="4" t="s">
        <v>23</v>
      </c>
      <c r="H28" s="4">
        <v>33</v>
      </c>
      <c r="I28" s="4">
        <v>8709</v>
      </c>
    </row>
    <row r="29" spans="1:9">
      <c r="A29" s="4" t="s">
        <v>43</v>
      </c>
      <c r="B29" s="4" t="s">
        <v>15</v>
      </c>
      <c r="C29" s="4">
        <v>9385</v>
      </c>
      <c r="D29" s="4">
        <v>11239</v>
      </c>
      <c r="E29" s="4">
        <f>Table6[[#This Row],[Avg_Daily_Sales_After]]-Table6[[#This Row],[Avg_Daily_Sales_Before]]</f>
        <v>1854</v>
      </c>
      <c r="F29" s="4" t="str">
        <f>IF(Table6[[#This Row],[Avg_Daily_Sales_After]]&gt;Table6[[#This Row],[Avg_Daily_Sales_Before]],"+VE","-VE")</f>
        <v>+VE</v>
      </c>
      <c r="G29" s="4" t="s">
        <v>23</v>
      </c>
      <c r="H29" s="4">
        <v>45</v>
      </c>
      <c r="I29" s="4">
        <v>10136</v>
      </c>
    </row>
    <row r="30" spans="1:9">
      <c r="A30" s="4" t="s">
        <v>44</v>
      </c>
      <c r="B30" s="4" t="s">
        <v>21</v>
      </c>
      <c r="C30" s="4">
        <v>8236</v>
      </c>
      <c r="D30" s="4">
        <v>9160</v>
      </c>
      <c r="E30" s="4">
        <f>Table6[[#This Row],[Avg_Daily_Sales_After]]-Table6[[#This Row],[Avg_Daily_Sales_Before]]</f>
        <v>924</v>
      </c>
      <c r="F30" s="4" t="str">
        <f>IF(Table6[[#This Row],[Avg_Daily_Sales_After]]&gt;Table6[[#This Row],[Avg_Daily_Sales_Before]],"+VE","-VE")</f>
        <v>+VE</v>
      </c>
      <c r="G30" s="4" t="s">
        <v>19</v>
      </c>
      <c r="H30" s="4">
        <v>60</v>
      </c>
      <c r="I30" s="4">
        <v>8895</v>
      </c>
    </row>
    <row r="31" spans="1:9">
      <c r="A31" s="4" t="s">
        <v>45</v>
      </c>
      <c r="B31" s="4" t="s">
        <v>21</v>
      </c>
      <c r="C31" s="4">
        <v>5481</v>
      </c>
      <c r="D31" s="4">
        <v>7024</v>
      </c>
      <c r="E31" s="4">
        <f>Table6[[#This Row],[Avg_Daily_Sales_After]]-Table6[[#This Row],[Avg_Daily_Sales_Before]]</f>
        <v>1543</v>
      </c>
      <c r="F31" s="4" t="str">
        <f>IF(Table6[[#This Row],[Avg_Daily_Sales_After]]&gt;Table6[[#This Row],[Avg_Daily_Sales_Before]],"+VE","-VE")</f>
        <v>+VE</v>
      </c>
      <c r="G31" s="4" t="s">
        <v>19</v>
      </c>
      <c r="H31" s="4">
        <v>29</v>
      </c>
      <c r="I31" s="4">
        <v>5919</v>
      </c>
    </row>
    <row r="32" spans="1:9">
      <c r="A32" s="4" t="s">
        <v>46</v>
      </c>
      <c r="B32" s="4" t="s">
        <v>21</v>
      </c>
      <c r="C32" s="4">
        <v>6057</v>
      </c>
      <c r="D32" s="4">
        <v>6471</v>
      </c>
      <c r="E32" s="4">
        <f>Table6[[#This Row],[Avg_Daily_Sales_After]]-Table6[[#This Row],[Avg_Daily_Sales_Before]]</f>
        <v>414</v>
      </c>
      <c r="F32" s="4" t="str">
        <f>IF(Table6[[#This Row],[Avg_Daily_Sales_After]]&gt;Table6[[#This Row],[Avg_Daily_Sales_Before]],"+VE","-VE")</f>
        <v>+VE</v>
      </c>
      <c r="G32" s="4" t="s">
        <v>23</v>
      </c>
      <c r="H32" s="4">
        <v>54</v>
      </c>
      <c r="I32" s="4">
        <v>6542</v>
      </c>
    </row>
    <row r="33" spans="1:9">
      <c r="A33" s="4" t="s">
        <v>47</v>
      </c>
      <c r="B33" s="4" t="s">
        <v>18</v>
      </c>
      <c r="C33" s="4">
        <v>9157</v>
      </c>
      <c r="D33" s="4">
        <v>9103</v>
      </c>
      <c r="E33" s="4">
        <f>Table6[[#This Row],[Avg_Daily_Sales_After]]-Table6[[#This Row],[Avg_Daily_Sales_Before]]</f>
        <v>-54</v>
      </c>
      <c r="F33" s="4" t="str">
        <f>IF(Table6[[#This Row],[Avg_Daily_Sales_After]]&gt;Table6[[#This Row],[Avg_Daily_Sales_Before]],"+VE","-VE")</f>
        <v>-VE</v>
      </c>
      <c r="G33" s="4" t="s">
        <v>16</v>
      </c>
      <c r="H33" s="4">
        <v>56</v>
      </c>
      <c r="I33" s="4">
        <v>9890</v>
      </c>
    </row>
    <row r="34" spans="1:9">
      <c r="A34" s="4" t="s">
        <v>48</v>
      </c>
      <c r="B34" s="4" t="s">
        <v>21</v>
      </c>
      <c r="C34" s="4">
        <v>3809</v>
      </c>
      <c r="D34" s="4">
        <v>3282</v>
      </c>
      <c r="E34" s="4">
        <f>Table6[[#This Row],[Avg_Daily_Sales_After]]-Table6[[#This Row],[Avg_Daily_Sales_Before]]</f>
        <v>-527</v>
      </c>
      <c r="F34" s="4" t="str">
        <f>IF(Table6[[#This Row],[Avg_Daily_Sales_After]]&gt;Table6[[#This Row],[Avg_Daily_Sales_Before]],"+VE","-VE")</f>
        <v>-VE</v>
      </c>
      <c r="G34" s="4" t="s">
        <v>23</v>
      </c>
      <c r="H34" s="4">
        <v>29</v>
      </c>
      <c r="I34" s="4">
        <v>4114</v>
      </c>
    </row>
    <row r="35" spans="1:9">
      <c r="A35" s="4" t="s">
        <v>49</v>
      </c>
      <c r="B35" s="4" t="s">
        <v>18</v>
      </c>
      <c r="C35" s="4">
        <v>5888</v>
      </c>
      <c r="D35" s="4">
        <v>6330</v>
      </c>
      <c r="E35" s="4">
        <f>Table6[[#This Row],[Avg_Daily_Sales_After]]-Table6[[#This Row],[Avg_Daily_Sales_Before]]</f>
        <v>442</v>
      </c>
      <c r="F35" s="4" t="str">
        <f>IF(Table6[[#This Row],[Avg_Daily_Sales_After]]&gt;Table6[[#This Row],[Avg_Daily_Sales_Before]],"+VE","-VE")</f>
        <v>+VE</v>
      </c>
      <c r="G35" s="4" t="s">
        <v>19</v>
      </c>
      <c r="H35" s="4">
        <v>22</v>
      </c>
      <c r="I35" s="4">
        <v>6359</v>
      </c>
    </row>
    <row r="36" spans="1:9">
      <c r="A36" s="4" t="s">
        <v>50</v>
      </c>
      <c r="B36" s="4" t="s">
        <v>21</v>
      </c>
      <c r="C36" s="4">
        <v>5532</v>
      </c>
      <c r="D36" s="4">
        <v>6169</v>
      </c>
      <c r="E36" s="4">
        <f>Table6[[#This Row],[Avg_Daily_Sales_After]]-Table6[[#This Row],[Avg_Daily_Sales_Before]]</f>
        <v>637</v>
      </c>
      <c r="F36" s="4" t="str">
        <f>IF(Table6[[#This Row],[Avg_Daily_Sales_After]]&gt;Table6[[#This Row],[Avg_Daily_Sales_Before]],"+VE","-VE")</f>
        <v>+VE</v>
      </c>
      <c r="G36" s="4" t="s">
        <v>16</v>
      </c>
      <c r="H36" s="4">
        <v>20</v>
      </c>
      <c r="I36" s="4">
        <v>5975</v>
      </c>
    </row>
    <row r="37" spans="1:9">
      <c r="A37" s="4" t="s">
        <v>51</v>
      </c>
      <c r="B37" s="4" t="s">
        <v>18</v>
      </c>
      <c r="C37" s="4">
        <v>7343</v>
      </c>
      <c r="D37" s="4">
        <v>7833</v>
      </c>
      <c r="E37" s="4">
        <f>Table6[[#This Row],[Avg_Daily_Sales_After]]-Table6[[#This Row],[Avg_Daily_Sales_Before]]</f>
        <v>490</v>
      </c>
      <c r="F37" s="4" t="str">
        <f>IF(Table6[[#This Row],[Avg_Daily_Sales_After]]&gt;Table6[[#This Row],[Avg_Daily_Sales_Before]],"+VE","-VE")</f>
        <v>+VE</v>
      </c>
      <c r="G37" s="4" t="s">
        <v>52</v>
      </c>
      <c r="H37" s="4">
        <v>58</v>
      </c>
      <c r="I37" s="4">
        <v>7930</v>
      </c>
    </row>
    <row r="38" spans="1:9">
      <c r="A38" s="4" t="s">
        <v>53</v>
      </c>
      <c r="B38" s="4" t="s">
        <v>15</v>
      </c>
      <c r="C38" s="4">
        <v>8853</v>
      </c>
      <c r="D38" s="4">
        <v>10391</v>
      </c>
      <c r="E38" s="4">
        <f>Table6[[#This Row],[Avg_Daily_Sales_After]]-Table6[[#This Row],[Avg_Daily_Sales_Before]]</f>
        <v>1538</v>
      </c>
      <c r="F38" s="4" t="str">
        <f>IF(Table6[[#This Row],[Avg_Daily_Sales_After]]&gt;Table6[[#This Row],[Avg_Daily_Sales_Before]],"+VE","-VE")</f>
        <v>+VE</v>
      </c>
      <c r="G38" s="4" t="s">
        <v>23</v>
      </c>
      <c r="H38" s="4">
        <v>49</v>
      </c>
      <c r="I38" s="4">
        <v>9561</v>
      </c>
    </row>
    <row r="39" spans="1:9">
      <c r="A39" s="4" t="s">
        <v>54</v>
      </c>
      <c r="B39" s="4" t="s">
        <v>15</v>
      </c>
      <c r="C39" s="4">
        <v>3501</v>
      </c>
      <c r="D39" s="4">
        <v>4389</v>
      </c>
      <c r="E39" s="4">
        <f>Table6[[#This Row],[Avg_Daily_Sales_After]]-Table6[[#This Row],[Avg_Daily_Sales_Before]]</f>
        <v>888</v>
      </c>
      <c r="F39" s="4" t="str">
        <f>IF(Table6[[#This Row],[Avg_Daily_Sales_After]]&gt;Table6[[#This Row],[Avg_Daily_Sales_Before]],"+VE","-VE")</f>
        <v>+VE</v>
      </c>
      <c r="G39" s="4" t="s">
        <v>23</v>
      </c>
      <c r="H39" s="4">
        <v>29</v>
      </c>
      <c r="I39" s="4">
        <v>3781</v>
      </c>
    </row>
    <row r="40" spans="1:9">
      <c r="A40" s="4" t="s">
        <v>55</v>
      </c>
      <c r="B40" s="4" t="s">
        <v>21</v>
      </c>
      <c r="C40" s="4">
        <v>8696</v>
      </c>
      <c r="D40" s="4">
        <v>9374</v>
      </c>
      <c r="E40" s="4">
        <f>Table6[[#This Row],[Avg_Daily_Sales_After]]-Table6[[#This Row],[Avg_Daily_Sales_Before]]</f>
        <v>678</v>
      </c>
      <c r="F40" s="4" t="str">
        <f>IF(Table6[[#This Row],[Avg_Daily_Sales_After]]&gt;Table6[[#This Row],[Avg_Daily_Sales_Before]],"+VE","-VE")</f>
        <v>+VE</v>
      </c>
      <c r="G40" s="4" t="s">
        <v>23</v>
      </c>
      <c r="H40" s="4">
        <v>57</v>
      </c>
      <c r="I40" s="4">
        <v>9392</v>
      </c>
    </row>
    <row r="42" spans="1:9">
      <c r="A42" t="s">
        <v>56</v>
      </c>
    </row>
    <row r="43" spans="1:9">
      <c r="A43" s="7" t="s">
        <v>57</v>
      </c>
      <c r="B43" s="7" t="s">
        <v>58</v>
      </c>
    </row>
    <row r="44" spans="1:9" ht="27.6">
      <c r="A44" s="8" t="s">
        <v>59</v>
      </c>
      <c r="B44" s="8">
        <f>AVERAGE(Table6[Avg_Daily_Sales_Before])</f>
        <v>6589.2</v>
      </c>
    </row>
    <row r="45" spans="1:9" ht="27.6">
      <c r="A45" s="8" t="s">
        <v>60</v>
      </c>
      <c r="B45" s="8">
        <f>ROUND(AVERAGE(Table6[Avg_Daily_Sales_After]),2)</f>
        <v>7139.51</v>
      </c>
    </row>
    <row r="46" spans="1:9" ht="27.6">
      <c r="A46" s="8" t="s">
        <v>61</v>
      </c>
      <c r="B46" s="8">
        <f>ROUND(AVERAGE(Table6[Sales_Difference]),2)</f>
        <v>550.30999999999995</v>
      </c>
    </row>
    <row r="48" spans="1:9">
      <c r="A48" s="8" t="s">
        <v>62</v>
      </c>
    </row>
    <row r="49" spans="1:4" ht="41.4">
      <c r="A49" s="8" t="s">
        <v>63</v>
      </c>
    </row>
    <row r="50" spans="1:4">
      <c r="A50" t="s">
        <v>64</v>
      </c>
    </row>
    <row r="52" spans="1:4">
      <c r="A52" t="s">
        <v>65</v>
      </c>
    </row>
    <row r="53" spans="1:4">
      <c r="A53" t="s">
        <v>66</v>
      </c>
    </row>
    <row r="55" spans="1:4">
      <c r="A55" t="s">
        <v>67</v>
      </c>
    </row>
    <row r="56" spans="1:4">
      <c r="A56" t="s">
        <v>68</v>
      </c>
    </row>
    <row r="57" spans="1:4">
      <c r="A57">
        <f>ROUND(_xlfn.T.TEST(Table6[Avg_Daily_Sales_Before],Table6[Avg_Daily_Sales_After],2,1),8)</f>
        <v>8.9999999999999996E-7</v>
      </c>
    </row>
    <row r="59" spans="1:4">
      <c r="A59" t="s">
        <v>69</v>
      </c>
    </row>
    <row r="60" spans="1:4">
      <c r="A60" t="s">
        <v>70</v>
      </c>
    </row>
    <row r="62" spans="1:4">
      <c r="A62" t="s">
        <v>71</v>
      </c>
    </row>
    <row r="64" spans="1:4">
      <c r="A64" t="s">
        <v>72</v>
      </c>
      <c r="B64" t="s">
        <v>73</v>
      </c>
      <c r="C64" t="s">
        <v>74</v>
      </c>
      <c r="D64" t="s">
        <v>75</v>
      </c>
    </row>
    <row r="65" spans="1:4">
      <c r="A65" s="9" t="s">
        <v>52</v>
      </c>
      <c r="B65">
        <v>7343</v>
      </c>
      <c r="C65">
        <v>7833</v>
      </c>
      <c r="D65">
        <v>490</v>
      </c>
    </row>
    <row r="66" spans="1:4">
      <c r="A66" s="9" t="s">
        <v>19</v>
      </c>
      <c r="B66">
        <v>6385</v>
      </c>
      <c r="C66">
        <v>6995.5</v>
      </c>
      <c r="D66">
        <v>610.5</v>
      </c>
    </row>
    <row r="67" spans="1:4">
      <c r="A67" s="9" t="s">
        <v>23</v>
      </c>
      <c r="B67" s="10">
        <v>6839.0666666666666</v>
      </c>
      <c r="C67" s="10">
        <v>7448.7333333333336</v>
      </c>
      <c r="D67" s="10">
        <v>609.66666666666663</v>
      </c>
    </row>
    <row r="68" spans="1:4">
      <c r="A68" s="9" t="s">
        <v>16</v>
      </c>
      <c r="B68" s="10">
        <v>6328.454545454545</v>
      </c>
      <c r="C68" s="10">
        <v>6759.545454545455</v>
      </c>
      <c r="D68" s="10">
        <v>431.09090909090907</v>
      </c>
    </row>
    <row r="69" spans="1:4">
      <c r="A69" s="9" t="s">
        <v>76</v>
      </c>
      <c r="B69">
        <v>6589.2</v>
      </c>
      <c r="C69" s="10">
        <v>7139.5142857142855</v>
      </c>
      <c r="D69" s="10">
        <v>550.31428571428569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2026-05-08T15:19:00Z</dcterms:created>
  <dcterms:modified xsi:type="dcterms:W3CDTF">2026-05-08T15:19:17Z</dcterms:modified>
</cp:coreProperties>
</file>