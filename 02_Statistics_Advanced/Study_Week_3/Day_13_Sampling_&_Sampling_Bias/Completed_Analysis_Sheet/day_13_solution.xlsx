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d31ac04eec9a4d31/Documents/"/>
    </mc:Choice>
  </mc:AlternateContent>
  <xr:revisionPtr revIDLastSave="1" documentId="8_{D48A9C5B-60D6-41DA-A169-5755B4C2B645}" xr6:coauthVersionLast="47" xr6:coauthVersionMax="47" xr10:uidLastSave="{B07ECEA0-4BCA-478E-9E10-54C02CF0A373}"/>
  <bookViews>
    <workbookView xWindow="-108" yWindow="-108" windowWidth="23256" windowHeight="12456" xr2:uid="{243FA0F7-1E7F-4451-81BD-01B2A7CBDABC}"/>
  </bookViews>
  <sheets>
    <sheet name="Day 13"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40" i="1" l="1"/>
  <c r="K40" i="1"/>
  <c r="L39" i="1"/>
  <c r="K39" i="1"/>
  <c r="M34" i="1"/>
  <c r="K34" i="1"/>
  <c r="M33" i="1"/>
  <c r="K33" i="1"/>
  <c r="M32" i="1"/>
  <c r="K32" i="1"/>
  <c r="M31" i="1"/>
  <c r="K31" i="1"/>
  <c r="M26" i="1"/>
  <c r="K26" i="1"/>
  <c r="M25" i="1"/>
  <c r="K25" i="1"/>
  <c r="M24" i="1"/>
  <c r="K24" i="1"/>
  <c r="K27" i="1" s="1"/>
  <c r="L25" i="1" s="1"/>
  <c r="M19" i="1"/>
  <c r="K19" i="1"/>
  <c r="M18" i="1"/>
  <c r="K18" i="1"/>
  <c r="M17" i="1"/>
  <c r="K17" i="1"/>
  <c r="M16" i="1"/>
  <c r="K16" i="1"/>
  <c r="M15" i="1"/>
  <c r="M20" i="1" s="1"/>
  <c r="K15" i="1"/>
  <c r="K20" i="1" s="1"/>
  <c r="M10" i="1"/>
  <c r="K10" i="1"/>
  <c r="M9" i="1"/>
  <c r="K9" i="1"/>
  <c r="M8" i="1"/>
  <c r="K8" i="1"/>
  <c r="M7" i="1"/>
  <c r="M11" i="1" s="1"/>
  <c r="K7" i="1"/>
  <c r="K11" i="1" s="1"/>
  <c r="N19" i="1" l="1"/>
  <c r="L9" i="1"/>
  <c r="L7" i="1"/>
  <c r="L11" i="1" s="1"/>
  <c r="L16" i="1"/>
  <c r="L18" i="1"/>
  <c r="L17" i="1"/>
  <c r="L19" i="1"/>
  <c r="N9" i="1"/>
  <c r="O9" i="1" s="1"/>
  <c r="N7" i="1"/>
  <c r="N18" i="1"/>
  <c r="O18" i="1" s="1"/>
  <c r="N16" i="1"/>
  <c r="O16" i="1" s="1"/>
  <c r="N17" i="1"/>
  <c r="O17" i="1" s="1"/>
  <c r="L8" i="1"/>
  <c r="L10" i="1"/>
  <c r="L26" i="1"/>
  <c r="N8" i="1"/>
  <c r="O8" i="1" s="1"/>
  <c r="N10" i="1"/>
  <c r="K35" i="1"/>
  <c r="N15" i="1"/>
  <c r="L24" i="1"/>
  <c r="M27" i="1"/>
  <c r="N25" i="1" s="1"/>
  <c r="O25" i="1" s="1"/>
  <c r="M35" i="1"/>
  <c r="N31" i="1" s="1"/>
  <c r="L15" i="1"/>
  <c r="O31" i="1" l="1"/>
  <c r="L32" i="1"/>
  <c r="L34" i="1"/>
  <c r="O7" i="1"/>
  <c r="N11" i="1"/>
  <c r="L31" i="1"/>
  <c r="N34" i="1"/>
  <c r="O34" i="1" s="1"/>
  <c r="N32" i="1"/>
  <c r="O32" i="1" s="1"/>
  <c r="N26" i="1"/>
  <c r="O26" i="1" s="1"/>
  <c r="N33" i="1"/>
  <c r="L27" i="1"/>
  <c r="N24" i="1"/>
  <c r="L20" i="1"/>
  <c r="N20" i="1"/>
  <c r="O15" i="1"/>
  <c r="O20" i="1" s="1"/>
  <c r="O10" i="1"/>
  <c r="L33" i="1"/>
  <c r="O19" i="1"/>
  <c r="O33" i="1" l="1"/>
  <c r="L35" i="1"/>
  <c r="O35" i="1"/>
  <c r="N27" i="1"/>
  <c r="O24" i="1"/>
  <c r="O27" i="1" s="1"/>
  <c r="O11" i="1"/>
  <c r="N35" i="1"/>
</calcChain>
</file>

<file path=xl/sharedStrings.xml><?xml version="1.0" encoding="utf-8"?>
<sst xmlns="http://schemas.openxmlformats.org/spreadsheetml/2006/main" count="460" uniqueCount="128">
  <si>
    <t>DAY 13: Sampling &amp; Sampling Bias</t>
  </si>
  <si>
    <t>Objective</t>
  </si>
  <si>
    <t>Identify whether a sample fairly represents the population and detect bias.</t>
  </si>
  <si>
    <t>Suggested Practice:</t>
  </si>
  <si>
    <t>Attempt the exercises independently before reviewing guided solutions.</t>
  </si>
  <si>
    <t>Respondent_ID</t>
  </si>
  <si>
    <t>Region</t>
  </si>
  <si>
    <t>Age_Group</t>
  </si>
  <si>
    <t>Customer_Type</t>
  </si>
  <si>
    <t>Purchase_Frequency</t>
  </si>
  <si>
    <t>Satisfaction_Score</t>
  </si>
  <si>
    <t>Survey_Channel</t>
  </si>
  <si>
    <t>Included_In_Sample</t>
  </si>
  <si>
    <t>A) Region Distribution</t>
  </si>
  <si>
    <t>R-001</t>
  </si>
  <si>
    <t>East</t>
  </si>
  <si>
    <t>35-44</t>
  </si>
  <si>
    <t>Returning</t>
  </si>
  <si>
    <t>Email</t>
  </si>
  <si>
    <t>Yes</t>
  </si>
  <si>
    <t>Population</t>
  </si>
  <si>
    <t>Population %</t>
  </si>
  <si>
    <t>Sample</t>
  </si>
  <si>
    <t>Sample %</t>
  </si>
  <si>
    <t>Difference</t>
  </si>
  <si>
    <t>Interpretation</t>
  </si>
  <si>
    <t>R-002</t>
  </si>
  <si>
    <t>In-App</t>
  </si>
  <si>
    <t>Mild Bias</t>
  </si>
  <si>
    <t>R-003</t>
  </si>
  <si>
    <t>South</t>
  </si>
  <si>
    <t>25-34</t>
  </si>
  <si>
    <t>New</t>
  </si>
  <si>
    <t>North</t>
  </si>
  <si>
    <t>Fair</t>
  </si>
  <si>
    <t>R-004</t>
  </si>
  <si>
    <t>West</t>
  </si>
  <si>
    <t>55+</t>
  </si>
  <si>
    <t>R-005</t>
  </si>
  <si>
    <t>VIP</t>
  </si>
  <si>
    <t>R-006</t>
  </si>
  <si>
    <t>45-54</t>
  </si>
  <si>
    <t>Total</t>
  </si>
  <si>
    <t>R-007</t>
  </si>
  <si>
    <t>Store</t>
  </si>
  <si>
    <t>R-008</t>
  </si>
  <si>
    <t>B) Age Group Distribution</t>
  </si>
  <si>
    <t>R-009</t>
  </si>
  <si>
    <t>Age Group</t>
  </si>
  <si>
    <t>R-010</t>
  </si>
  <si>
    <t>No</t>
  </si>
  <si>
    <t>18-24</t>
  </si>
  <si>
    <t>R-011</t>
  </si>
  <si>
    <t>R-012</t>
  </si>
  <si>
    <t>R-013</t>
  </si>
  <si>
    <t>R-014</t>
  </si>
  <si>
    <t>R-015</t>
  </si>
  <si>
    <t>R-016</t>
  </si>
  <si>
    <t>R-017</t>
  </si>
  <si>
    <t>C) Customer Type Distribution</t>
  </si>
  <si>
    <t>R-018</t>
  </si>
  <si>
    <t>Customer Type</t>
  </si>
  <si>
    <t>R-019</t>
  </si>
  <si>
    <t>R-020</t>
  </si>
  <si>
    <t>R-021</t>
  </si>
  <si>
    <t>R-022</t>
  </si>
  <si>
    <t>R-023</t>
  </si>
  <si>
    <t>R-024</t>
  </si>
  <si>
    <t>Phone</t>
  </si>
  <si>
    <t>D) Survey Channel Distribution</t>
  </si>
  <si>
    <t>R-025</t>
  </si>
  <si>
    <t>Survey Channel</t>
  </si>
  <si>
    <t>R-026</t>
  </si>
  <si>
    <t>Significant Bias</t>
  </si>
  <si>
    <t>R-027</t>
  </si>
  <si>
    <t>R-028</t>
  </si>
  <si>
    <t xml:space="preserve">Phone </t>
  </si>
  <si>
    <t>R-029</t>
  </si>
  <si>
    <t>R-030</t>
  </si>
  <si>
    <t>R-031</t>
  </si>
  <si>
    <t>R-032</t>
  </si>
  <si>
    <t>Metric Comparison</t>
  </si>
  <si>
    <t>R-033</t>
  </si>
  <si>
    <t>Metric</t>
  </si>
  <si>
    <t>Population Average</t>
  </si>
  <si>
    <t>Sample Avg</t>
  </si>
  <si>
    <t>R-034</t>
  </si>
  <si>
    <t>Purchase Freq.</t>
  </si>
  <si>
    <t>R-035</t>
  </si>
  <si>
    <t>Sat. Score</t>
  </si>
  <si>
    <t>R-036</t>
  </si>
  <si>
    <t>R-037</t>
  </si>
  <si>
    <t>3) Sampling Method Used</t>
  </si>
  <si>
    <t>R-038</t>
  </si>
  <si>
    <t>The dataset structure resembles stratified sampling because respondents were distributed across multiple demographic and operational categories to preserve representation across important subgroups.</t>
  </si>
  <si>
    <t>R-039</t>
  </si>
  <si>
    <t>R-040</t>
  </si>
  <si>
    <t>4) Possible Bias Causes</t>
  </si>
  <si>
    <t>R-041</t>
  </si>
  <si>
    <t>Bias</t>
  </si>
  <si>
    <t>Possible Cause</t>
  </si>
  <si>
    <t>R-042</t>
  </si>
  <si>
    <t>Email overrepresentation</t>
  </si>
  <si>
    <t>Easier digital response collection</t>
  </si>
  <si>
    <t>R-043</t>
  </si>
  <si>
    <t>Store underrepresentation</t>
  </si>
  <si>
    <t>Lower physical participation</t>
  </si>
  <si>
    <t>R-044</t>
  </si>
  <si>
    <t>VIP underrepresentation</t>
  </si>
  <si>
    <t>Smaller customer segment</t>
  </si>
  <si>
    <t>R-045</t>
  </si>
  <si>
    <t>R-046</t>
  </si>
  <si>
    <t>5) Reliability Assessment</t>
  </si>
  <si>
    <t>R-047</t>
  </si>
  <si>
    <t>Despite moderate survey-channel imbalance, the sample remained reasonably representative across demographic dimensions, while key business metrics stayed closely aligned with population averages. This suggests the dataset is broadly reliable for general customer analysis, although channel-specific interpretations should be approached cautiously.</t>
  </si>
  <si>
    <t>R-048</t>
  </si>
  <si>
    <t>R-049</t>
  </si>
  <si>
    <t>R-050</t>
  </si>
  <si>
    <t>R-051</t>
  </si>
  <si>
    <t>R-052</t>
  </si>
  <si>
    <t>R-053</t>
  </si>
  <si>
    <t>R-054</t>
  </si>
  <si>
    <t>R-055</t>
  </si>
  <si>
    <t>R-056</t>
  </si>
  <si>
    <t>R-057</t>
  </si>
  <si>
    <t>R-058</t>
  </si>
  <si>
    <t>R-059</t>
  </si>
  <si>
    <t>R-060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</si>
</sst>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font>
      <sz val="11"/>
      <name val="Carlito"/>
    </font>
    <font>
      <sz val="11"/>
      <name val="Carlito"/>
    </font>
    <font>
      <b/>
      <sz val="14"/>
      <color rgb="FFFFFFFF"/>
      <name val="Carlito"/>
    </font>
    <font>
      <b/>
      <sz val="11"/>
      <name val="Carlito"/>
    </font>
    <font>
      <b/>
      <sz val="11"/>
      <color rgb="FFFFFFFF"/>
      <name val="Carlito"/>
    </font>
  </fonts>
  <fills count="5">
    <fill>
      <patternFill patternType="none"/>
    </fill>
    <fill>
      <patternFill patternType="gray125"/>
    </fill>
    <fill>
      <patternFill patternType="solid">
        <fgColor rgb="FF1F4E78"/>
      </patternFill>
    </fill>
    <fill>
      <patternFill patternType="solid">
        <fgColor rgb="FFD9EAF7"/>
      </patternFill>
    </fill>
    <fill>
      <patternFill patternType="solid">
        <fgColor rgb="FF5B9BD5"/>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9">
    <xf numFmtId="0" fontId="0" fillId="0" borderId="0" xfId="0"/>
    <xf numFmtId="0" fontId="2" fillId="2" borderId="0" xfId="0" applyFont="1" applyFill="1" applyAlignment="1">
      <alignment vertical="center"/>
    </xf>
    <xf numFmtId="0" fontId="2" fillId="2" borderId="0" xfId="0" applyFont="1" applyFill="1" applyAlignment="1">
      <alignment vertical="center" wrapText="1"/>
    </xf>
    <xf numFmtId="1" fontId="0" fillId="0" borderId="0" xfId="0" applyNumberFormat="1"/>
    <xf numFmtId="0" fontId="3" fillId="3" borderId="0" xfId="0" applyFont="1" applyFill="1" applyAlignment="1">
      <alignment vertical="center" wrapText="1"/>
    </xf>
    <xf numFmtId="0" fontId="0" fillId="0" borderId="0" xfId="0" applyAlignment="1">
      <alignment wrapText="1"/>
    </xf>
    <xf numFmtId="0" fontId="3" fillId="0" borderId="0" xfId="0" applyFont="1" applyAlignment="1">
      <alignment vertical="center" wrapText="1"/>
    </xf>
    <xf numFmtId="0" fontId="4" fillId="4" borderId="0" xfId="0" applyFont="1" applyFill="1" applyAlignment="1">
      <alignment horizontal="center" vertical="center"/>
    </xf>
    <xf numFmtId="0" fontId="3" fillId="0" borderId="0" xfId="0" applyFont="1"/>
    <xf numFmtId="1" fontId="3" fillId="0" borderId="0" xfId="0" applyNumberFormat="1" applyFont="1"/>
    <xf numFmtId="10" fontId="0" fillId="0" borderId="0" xfId="1" applyNumberFormat="1" applyFont="1"/>
    <xf numFmtId="1" fontId="0" fillId="0" borderId="0" xfId="1" applyNumberFormat="1" applyFont="1"/>
    <xf numFmtId="10" fontId="0" fillId="0" borderId="0" xfId="0" applyNumberFormat="1"/>
    <xf numFmtId="164" fontId="0" fillId="0" borderId="0" xfId="1" applyNumberFormat="1" applyFont="1"/>
    <xf numFmtId="164" fontId="0" fillId="0" borderId="0" xfId="0" applyNumberFormat="1"/>
    <xf numFmtId="0" fontId="3" fillId="0" borderId="0" xfId="0" applyFont="1" applyAlignment="1">
      <alignment horizontal="center" vertical="center" wrapText="1"/>
    </xf>
    <xf numFmtId="0" fontId="3" fillId="0" borderId="0" xfId="0" applyFont="1" applyAlignment="1">
      <alignment horizontal="center" vertical="center"/>
    </xf>
    <xf numFmtId="0" fontId="0" fillId="0" borderId="0" xfId="0" applyAlignment="1">
      <alignment vertical="center" wrapText="1"/>
    </xf>
    <xf numFmtId="0" fontId="0" fillId="0" borderId="0" xfId="0" applyAlignment="1">
      <alignment vertical="center"/>
    </xf>
  </cellXfs>
  <cellStyles count="2">
    <cellStyle name="Normal" xfId="0" builtinId="0"/>
    <cellStyle name="Percent" xfId="1" builtinId="5"/>
  </cellStyles>
  <dxfs count="10">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1"/>
        <color rgb="FFFFFFFF"/>
        <name val="Carlito"/>
        <scheme val="none"/>
      </font>
      <fill>
        <patternFill patternType="solid">
          <fgColor indexed="64"/>
          <bgColor rgb="FF5B9BD5"/>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162EF16-D023-4627-8439-7A97920C2089}" name="Table4" displayName="Table4" ref="A5:H65" totalsRowShown="0" headerRowDxfId="9" dataDxfId="8">
  <autoFilter ref="A5:H65" xr:uid="{98405F0F-3ED1-471F-B1E6-F3BF6DECFBC3}"/>
  <tableColumns count="8">
    <tableColumn id="1" xr3:uid="{8A2B8368-E1BA-4C71-8541-CFC580E612C6}" name="Respondent_ID" dataDxfId="7"/>
    <tableColumn id="2" xr3:uid="{FA5DE022-8C30-4B65-BEA9-5BF851601FD6}" name="Region" dataDxfId="6"/>
    <tableColumn id="3" xr3:uid="{0961AF35-7178-4FAE-AD68-C494B3083576}" name="Age_Group" dataDxfId="5"/>
    <tableColumn id="4" xr3:uid="{87DA533A-28F3-426B-A7F8-7B18368A6ED5}" name="Customer_Type" dataDxfId="4"/>
    <tableColumn id="5" xr3:uid="{B4EA49CD-A7C0-4EA8-BDF7-03354FB06A5C}" name="Purchase_Frequency" dataDxfId="3"/>
    <tableColumn id="6" xr3:uid="{F05E0F20-3177-479E-9F11-AD6097153422}" name="Satisfaction_Score" dataDxfId="2"/>
    <tableColumn id="7" xr3:uid="{CFB60E49-BD25-4DC7-B921-3B7381D676BD}" name="Survey_Channel" dataDxfId="1"/>
    <tableColumn id="8" xr3:uid="{9324B95F-355F-4A8B-BAA3-1A5917F633FC}" name="Included_In_Sample" dataDxfId="0"/>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F704A-CD53-4010-ACB6-817260F5E63F}">
  <dimension ref="A1:P65"/>
  <sheetViews>
    <sheetView tabSelected="1" topLeftCell="E29" workbookViewId="0">
      <selection activeCell="J54" sqref="J54"/>
    </sheetView>
  </sheetViews>
  <sheetFormatPr defaultRowHeight="13.8"/>
  <cols>
    <col min="1" max="1" width="18" customWidth="1"/>
    <col min="2" max="4" width="20" customWidth="1"/>
    <col min="5" max="5" width="21.19921875" customWidth="1"/>
    <col min="6" max="7" width="20" customWidth="1"/>
    <col min="8" max="8" width="22.796875" bestFit="1" customWidth="1"/>
    <col min="10" max="10" width="22.3984375" customWidth="1"/>
    <col min="11" max="11" width="26.69921875" customWidth="1"/>
    <col min="12" max="12" width="12.3984375" bestFit="1" customWidth="1"/>
    <col min="13" max="13" width="11.5" style="3" customWidth="1"/>
    <col min="14" max="14" width="9.69921875" bestFit="1" customWidth="1"/>
    <col min="15" max="15" width="10" bestFit="1" customWidth="1"/>
    <col min="16" max="16" width="12.69921875" bestFit="1" customWidth="1"/>
  </cols>
  <sheetData>
    <row r="1" spans="1:16" ht="17.399999999999999">
      <c r="A1" s="1" t="s">
        <v>0</v>
      </c>
      <c r="B1" s="2"/>
      <c r="C1" s="2"/>
      <c r="D1" s="2"/>
      <c r="E1" s="2"/>
      <c r="F1" s="2"/>
      <c r="G1" s="2"/>
      <c r="H1" s="2"/>
    </row>
    <row r="2" spans="1:16" ht="69">
      <c r="A2" s="4" t="s">
        <v>1</v>
      </c>
      <c r="B2" s="4" t="s">
        <v>2</v>
      </c>
      <c r="C2" s="5"/>
      <c r="D2" s="5"/>
      <c r="E2" s="5"/>
      <c r="F2" s="5"/>
      <c r="G2" s="5"/>
      <c r="H2" s="5"/>
    </row>
    <row r="3" spans="1:16" ht="69">
      <c r="A3" s="4" t="s">
        <v>3</v>
      </c>
      <c r="B3" s="4" t="s">
        <v>4</v>
      </c>
      <c r="C3" s="5"/>
      <c r="D3" s="5"/>
      <c r="E3" s="5"/>
      <c r="F3" s="5"/>
      <c r="G3" s="5"/>
      <c r="H3" s="5"/>
    </row>
    <row r="4" spans="1:16">
      <c r="A4" s="6"/>
      <c r="B4" s="6"/>
      <c r="C4" s="5"/>
      <c r="D4" s="5"/>
      <c r="E4" s="5"/>
      <c r="F4" s="5"/>
      <c r="G4" s="5"/>
      <c r="H4" s="5"/>
    </row>
    <row r="5" spans="1:16">
      <c r="A5" s="7" t="s">
        <v>5</v>
      </c>
      <c r="B5" s="7" t="s">
        <v>6</v>
      </c>
      <c r="C5" s="7" t="s">
        <v>7</v>
      </c>
      <c r="D5" s="7" t="s">
        <v>8</v>
      </c>
      <c r="E5" s="7" t="s">
        <v>9</v>
      </c>
      <c r="F5" s="7" t="s">
        <v>10</v>
      </c>
      <c r="G5" s="7" t="s">
        <v>11</v>
      </c>
      <c r="H5" s="7" t="s">
        <v>12</v>
      </c>
      <c r="J5" t="s">
        <v>13</v>
      </c>
    </row>
    <row r="6" spans="1:16">
      <c r="A6" s="5" t="s">
        <v>14</v>
      </c>
      <c r="B6" s="5" t="s">
        <v>15</v>
      </c>
      <c r="C6" s="5" t="s">
        <v>16</v>
      </c>
      <c r="D6" s="5" t="s">
        <v>17</v>
      </c>
      <c r="E6" s="5">
        <v>4</v>
      </c>
      <c r="F6" s="5">
        <v>7.4</v>
      </c>
      <c r="G6" s="5" t="s">
        <v>18</v>
      </c>
      <c r="H6" s="5" t="s">
        <v>19</v>
      </c>
      <c r="J6" s="8" t="s">
        <v>6</v>
      </c>
      <c r="K6" s="8" t="s">
        <v>20</v>
      </c>
      <c r="L6" s="8" t="s">
        <v>21</v>
      </c>
      <c r="M6" s="9" t="s">
        <v>22</v>
      </c>
      <c r="N6" s="8" t="s">
        <v>23</v>
      </c>
      <c r="O6" s="8" t="s">
        <v>24</v>
      </c>
      <c r="P6" s="8" t="s">
        <v>25</v>
      </c>
    </row>
    <row r="7" spans="1:16">
      <c r="A7" s="5" t="s">
        <v>26</v>
      </c>
      <c r="B7" s="5" t="s">
        <v>15</v>
      </c>
      <c r="C7" s="5" t="s">
        <v>16</v>
      </c>
      <c r="D7" s="5" t="s">
        <v>17</v>
      </c>
      <c r="E7" s="5">
        <v>10</v>
      </c>
      <c r="F7" s="5">
        <v>7</v>
      </c>
      <c r="G7" s="5" t="s">
        <v>27</v>
      </c>
      <c r="H7" s="5" t="s">
        <v>19</v>
      </c>
      <c r="J7" t="s">
        <v>15</v>
      </c>
      <c r="K7">
        <f>COUNTIF(Table4[Region],"East")</f>
        <v>14</v>
      </c>
      <c r="L7" s="10">
        <f>K7/$K$11</f>
        <v>0.23333333333333334</v>
      </c>
      <c r="M7" s="11">
        <f>COUNTIFS(Table4[Region],"East",Table4[Included_In_Sample],"Yes")</f>
        <v>12</v>
      </c>
      <c r="N7" s="10">
        <f>M7/$M$11</f>
        <v>0.2857142857142857</v>
      </c>
      <c r="O7" s="12">
        <f>N7-L7</f>
        <v>5.2380952380952361E-2</v>
      </c>
      <c r="P7" t="s">
        <v>28</v>
      </c>
    </row>
    <row r="8" spans="1:16">
      <c r="A8" s="5" t="s">
        <v>29</v>
      </c>
      <c r="B8" s="5" t="s">
        <v>30</v>
      </c>
      <c r="C8" s="5" t="s">
        <v>31</v>
      </c>
      <c r="D8" s="5" t="s">
        <v>32</v>
      </c>
      <c r="E8" s="5">
        <v>5</v>
      </c>
      <c r="F8" s="5">
        <v>7</v>
      </c>
      <c r="G8" s="5" t="s">
        <v>27</v>
      </c>
      <c r="H8" s="5" t="s">
        <v>19</v>
      </c>
      <c r="J8" t="s">
        <v>33</v>
      </c>
      <c r="K8">
        <f>COUNTIF(Table4[Region],"North")</f>
        <v>7</v>
      </c>
      <c r="L8" s="10">
        <f>K8/$K$11</f>
        <v>0.11666666666666667</v>
      </c>
      <c r="M8" s="11">
        <f>COUNTIFS(Table4[Region],"North",Table4[Included_In_Sample],"Yes")</f>
        <v>5</v>
      </c>
      <c r="N8" s="10">
        <f>M8/$M$11</f>
        <v>0.11904761904761904</v>
      </c>
      <c r="O8" s="12">
        <f t="shared" ref="O8:O10" si="0">N8-L8</f>
        <v>2.3809523809523725E-3</v>
      </c>
      <c r="P8" t="s">
        <v>34</v>
      </c>
    </row>
    <row r="9" spans="1:16">
      <c r="A9" s="5" t="s">
        <v>35</v>
      </c>
      <c r="B9" s="5" t="s">
        <v>36</v>
      </c>
      <c r="C9" s="5" t="s">
        <v>37</v>
      </c>
      <c r="D9" s="5" t="s">
        <v>32</v>
      </c>
      <c r="E9" s="5">
        <v>5</v>
      </c>
      <c r="F9" s="5">
        <v>5.8</v>
      </c>
      <c r="G9" s="5" t="s">
        <v>18</v>
      </c>
      <c r="H9" s="5" t="s">
        <v>19</v>
      </c>
      <c r="J9" t="s">
        <v>30</v>
      </c>
      <c r="K9">
        <f>COUNTIF(Table4[Region],"South")</f>
        <v>23</v>
      </c>
      <c r="L9" s="10">
        <f>K9/$K$11</f>
        <v>0.38333333333333336</v>
      </c>
      <c r="M9" s="11">
        <f>COUNTIFS(Table4[Region],"South",Table4[Included_In_Sample],"Yes")</f>
        <v>13</v>
      </c>
      <c r="N9" s="10">
        <f>M9/$M$11</f>
        <v>0.30952380952380953</v>
      </c>
      <c r="O9" s="12">
        <f t="shared" si="0"/>
        <v>-7.3809523809523825E-2</v>
      </c>
      <c r="P9" t="s">
        <v>28</v>
      </c>
    </row>
    <row r="10" spans="1:16">
      <c r="A10" s="5" t="s">
        <v>38</v>
      </c>
      <c r="B10" s="5" t="s">
        <v>15</v>
      </c>
      <c r="C10" s="5" t="s">
        <v>37</v>
      </c>
      <c r="D10" s="5" t="s">
        <v>39</v>
      </c>
      <c r="E10" s="5">
        <v>10</v>
      </c>
      <c r="F10" s="5">
        <v>7.1</v>
      </c>
      <c r="G10" s="5" t="s">
        <v>18</v>
      </c>
      <c r="H10" s="5" t="s">
        <v>19</v>
      </c>
      <c r="J10" t="s">
        <v>36</v>
      </c>
      <c r="K10">
        <f>COUNTIF(Table4[Region],"West")</f>
        <v>16</v>
      </c>
      <c r="L10" s="10">
        <f>K10/$K$11</f>
        <v>0.26666666666666666</v>
      </c>
      <c r="M10" s="11">
        <f>COUNTIFS(Table4[Region],"West",Table4[Included_In_Sample],"Yes")</f>
        <v>12</v>
      </c>
      <c r="N10" s="10">
        <f>M10/$M$11</f>
        <v>0.2857142857142857</v>
      </c>
      <c r="O10" s="12">
        <f t="shared" si="0"/>
        <v>1.9047619047619035E-2</v>
      </c>
      <c r="P10" t="s">
        <v>34</v>
      </c>
    </row>
    <row r="11" spans="1:16">
      <c r="A11" s="5" t="s">
        <v>40</v>
      </c>
      <c r="B11" s="5" t="s">
        <v>36</v>
      </c>
      <c r="C11" s="5" t="s">
        <v>41</v>
      </c>
      <c r="D11" s="5" t="s">
        <v>17</v>
      </c>
      <c r="E11" s="5">
        <v>11</v>
      </c>
      <c r="F11" s="5">
        <v>6.8</v>
      </c>
      <c r="G11" s="5" t="s">
        <v>18</v>
      </c>
      <c r="H11" s="5" t="s">
        <v>19</v>
      </c>
      <c r="J11" t="s">
        <v>42</v>
      </c>
      <c r="K11">
        <f>SUM(K7:K10)</f>
        <v>60</v>
      </c>
      <c r="L11" s="12">
        <f>SUM(L7:L10)</f>
        <v>1</v>
      </c>
      <c r="M11" s="3">
        <f>SUM(M7:M10)</f>
        <v>42</v>
      </c>
      <c r="N11" s="12">
        <f>SUM(N7:N10)</f>
        <v>1</v>
      </c>
      <c r="O11" s="12">
        <f>SUM(O7:O10)</f>
        <v>-5.5511151231257827E-17</v>
      </c>
    </row>
    <row r="12" spans="1:16">
      <c r="A12" s="5" t="s">
        <v>43</v>
      </c>
      <c r="B12" s="5" t="s">
        <v>36</v>
      </c>
      <c r="C12" s="5" t="s">
        <v>16</v>
      </c>
      <c r="D12" s="5" t="s">
        <v>17</v>
      </c>
      <c r="E12" s="5">
        <v>6</v>
      </c>
      <c r="F12" s="5">
        <v>7.3</v>
      </c>
      <c r="G12" s="5" t="s">
        <v>44</v>
      </c>
      <c r="H12" s="5" t="s">
        <v>19</v>
      </c>
    </row>
    <row r="13" spans="1:16">
      <c r="A13" s="5" t="s">
        <v>45</v>
      </c>
      <c r="B13" s="5" t="s">
        <v>30</v>
      </c>
      <c r="C13" s="5" t="s">
        <v>31</v>
      </c>
      <c r="D13" s="5" t="s">
        <v>32</v>
      </c>
      <c r="E13" s="5">
        <v>9</v>
      </c>
      <c r="F13" s="5">
        <v>4.9000000000000004</v>
      </c>
      <c r="G13" s="5" t="s">
        <v>18</v>
      </c>
      <c r="H13" s="5" t="s">
        <v>19</v>
      </c>
      <c r="J13" t="s">
        <v>46</v>
      </c>
    </row>
    <row r="14" spans="1:16">
      <c r="A14" s="5" t="s">
        <v>47</v>
      </c>
      <c r="B14" s="5" t="s">
        <v>36</v>
      </c>
      <c r="C14" s="5" t="s">
        <v>31</v>
      </c>
      <c r="D14" s="5" t="s">
        <v>17</v>
      </c>
      <c r="E14" s="5">
        <v>12</v>
      </c>
      <c r="F14" s="5">
        <v>7.1</v>
      </c>
      <c r="G14" s="5" t="s">
        <v>18</v>
      </c>
      <c r="H14" s="5" t="s">
        <v>19</v>
      </c>
      <c r="J14" s="8" t="s">
        <v>48</v>
      </c>
      <c r="K14" s="8" t="s">
        <v>20</v>
      </c>
      <c r="L14" s="8" t="s">
        <v>21</v>
      </c>
      <c r="M14" s="9" t="s">
        <v>22</v>
      </c>
      <c r="N14" s="8" t="s">
        <v>23</v>
      </c>
      <c r="O14" s="8" t="s">
        <v>24</v>
      </c>
      <c r="P14" s="8" t="s">
        <v>25</v>
      </c>
    </row>
    <row r="15" spans="1:16">
      <c r="A15" s="5" t="s">
        <v>49</v>
      </c>
      <c r="B15" s="5" t="s">
        <v>30</v>
      </c>
      <c r="C15" s="5" t="s">
        <v>16</v>
      </c>
      <c r="D15" s="5" t="s">
        <v>39</v>
      </c>
      <c r="E15" s="5">
        <v>10</v>
      </c>
      <c r="F15" s="5">
        <v>5.9</v>
      </c>
      <c r="G15" s="5" t="s">
        <v>44</v>
      </c>
      <c r="H15" s="5" t="s">
        <v>50</v>
      </c>
      <c r="J15" t="s">
        <v>51</v>
      </c>
      <c r="K15">
        <f>COUNTIF(Table4[Age_Group],"18-24")</f>
        <v>8</v>
      </c>
      <c r="L15" s="10">
        <f>K15/K20</f>
        <v>0.13333333333333333</v>
      </c>
      <c r="M15" s="3">
        <f>COUNTIFS(Table4[Age_Group],"18-24",Table4[Included_In_Sample],"Yes")</f>
        <v>5</v>
      </c>
      <c r="N15" s="10">
        <f>M15/M20</f>
        <v>0.11904761904761904</v>
      </c>
      <c r="O15" s="12">
        <f>N15-L15</f>
        <v>-1.428571428571429E-2</v>
      </c>
      <c r="P15" t="s">
        <v>34</v>
      </c>
    </row>
    <row r="16" spans="1:16">
      <c r="A16" s="5" t="s">
        <v>52</v>
      </c>
      <c r="B16" s="5" t="s">
        <v>30</v>
      </c>
      <c r="C16" s="5" t="s">
        <v>31</v>
      </c>
      <c r="D16" s="5" t="s">
        <v>17</v>
      </c>
      <c r="E16" s="5">
        <v>4</v>
      </c>
      <c r="F16" s="5">
        <v>9.1999999999999993</v>
      </c>
      <c r="G16" s="5" t="s">
        <v>18</v>
      </c>
      <c r="H16" s="5" t="s">
        <v>19</v>
      </c>
      <c r="J16" t="s">
        <v>31</v>
      </c>
      <c r="K16">
        <f>COUNTIF(Table4[Age_Group],"25-34")</f>
        <v>14</v>
      </c>
      <c r="L16" s="10">
        <f>K16/K20</f>
        <v>0.23333333333333334</v>
      </c>
      <c r="M16" s="3">
        <f>COUNTIFS(Table4[Age_Group],"25-34",Table4[Included_In_Sample],"Yes")</f>
        <v>12</v>
      </c>
      <c r="N16" s="10">
        <f>M16/M20</f>
        <v>0.2857142857142857</v>
      </c>
      <c r="O16" s="12">
        <f t="shared" ref="O16:O19" si="1">N16-L16</f>
        <v>5.2380952380952361E-2</v>
      </c>
      <c r="P16" t="s">
        <v>28</v>
      </c>
    </row>
    <row r="17" spans="1:16">
      <c r="A17" s="5" t="s">
        <v>53</v>
      </c>
      <c r="B17" s="5" t="s">
        <v>33</v>
      </c>
      <c r="C17" s="5" t="s">
        <v>37</v>
      </c>
      <c r="D17" s="5" t="s">
        <v>32</v>
      </c>
      <c r="E17" s="5">
        <v>7</v>
      </c>
      <c r="F17" s="5">
        <v>6.3</v>
      </c>
      <c r="G17" s="5" t="s">
        <v>18</v>
      </c>
      <c r="H17" s="5" t="s">
        <v>19</v>
      </c>
      <c r="J17" t="s">
        <v>16</v>
      </c>
      <c r="K17">
        <f>COUNTIF(Table4[Age_Group],"35-44")</f>
        <v>14</v>
      </c>
      <c r="L17" s="10">
        <f>K17/K20</f>
        <v>0.23333333333333334</v>
      </c>
      <c r="M17" s="3">
        <f>COUNTIFS(Table4[Age_Group],"35-44",Table4[Included_In_Sample],"Yes")</f>
        <v>10</v>
      </c>
      <c r="N17" s="10">
        <f>M17/M20</f>
        <v>0.23809523809523808</v>
      </c>
      <c r="O17" s="12">
        <f t="shared" si="1"/>
        <v>4.761904761904745E-3</v>
      </c>
      <c r="P17" t="s">
        <v>34</v>
      </c>
    </row>
    <row r="18" spans="1:16">
      <c r="A18" s="5" t="s">
        <v>54</v>
      </c>
      <c r="B18" s="5" t="s">
        <v>36</v>
      </c>
      <c r="C18" s="5" t="s">
        <v>37</v>
      </c>
      <c r="D18" s="5" t="s">
        <v>17</v>
      </c>
      <c r="E18" s="5">
        <v>10</v>
      </c>
      <c r="F18" s="5">
        <v>7.6</v>
      </c>
      <c r="G18" s="5" t="s">
        <v>18</v>
      </c>
      <c r="H18" s="5" t="s">
        <v>19</v>
      </c>
      <c r="J18" t="s">
        <v>41</v>
      </c>
      <c r="K18">
        <f>COUNTIF(Table4[Age_Group],"45-54")</f>
        <v>10</v>
      </c>
      <c r="L18" s="10">
        <f>K18/K20</f>
        <v>0.16666666666666666</v>
      </c>
      <c r="M18" s="3">
        <f>COUNTIFS(Table4[Age_Group],"45-54",Table4[Included_In_Sample],"Yes")</f>
        <v>6</v>
      </c>
      <c r="N18" s="10">
        <f>M18/M20</f>
        <v>0.14285714285714285</v>
      </c>
      <c r="O18" s="12">
        <f t="shared" si="1"/>
        <v>-2.3809523809523808E-2</v>
      </c>
      <c r="P18" t="s">
        <v>34</v>
      </c>
    </row>
    <row r="19" spans="1:16">
      <c r="A19" s="5" t="s">
        <v>55</v>
      </c>
      <c r="B19" s="5" t="s">
        <v>30</v>
      </c>
      <c r="C19" s="5" t="s">
        <v>16</v>
      </c>
      <c r="D19" s="5" t="s">
        <v>39</v>
      </c>
      <c r="E19" s="5">
        <v>4</v>
      </c>
      <c r="F19" s="5">
        <v>6.7</v>
      </c>
      <c r="G19" s="5" t="s">
        <v>27</v>
      </c>
      <c r="H19" s="5" t="s">
        <v>50</v>
      </c>
      <c r="J19" t="s">
        <v>37</v>
      </c>
      <c r="K19">
        <f>COUNTIF(Table4[Age_Group],"55+")</f>
        <v>14</v>
      </c>
      <c r="L19" s="10">
        <f>K19/K20</f>
        <v>0.23333333333333334</v>
      </c>
      <c r="M19" s="3">
        <f>COUNTIFS(Table4[Age_Group],"55+",Table4[Included_In_Sample],"Yes")</f>
        <v>9</v>
      </c>
      <c r="N19" s="10">
        <f>M19/M20</f>
        <v>0.21428571428571427</v>
      </c>
      <c r="O19" s="12">
        <f t="shared" si="1"/>
        <v>-1.9047619047619063E-2</v>
      </c>
      <c r="P19" t="s">
        <v>34</v>
      </c>
    </row>
    <row r="20" spans="1:16">
      <c r="A20" s="5" t="s">
        <v>56</v>
      </c>
      <c r="B20" s="5" t="s">
        <v>36</v>
      </c>
      <c r="C20" s="5" t="s">
        <v>51</v>
      </c>
      <c r="D20" s="5" t="s">
        <v>39</v>
      </c>
      <c r="E20" s="5">
        <v>4</v>
      </c>
      <c r="F20" s="5">
        <v>6.3</v>
      </c>
      <c r="G20" s="5" t="s">
        <v>27</v>
      </c>
      <c r="H20" s="5" t="s">
        <v>19</v>
      </c>
      <c r="J20" t="s">
        <v>42</v>
      </c>
      <c r="K20">
        <f>SUM(K15:K19)</f>
        <v>60</v>
      </c>
      <c r="L20" s="12">
        <f>SUM(L15:L19)</f>
        <v>1</v>
      </c>
      <c r="M20" s="3">
        <f>SUM(M15:M19)</f>
        <v>42</v>
      </c>
      <c r="N20" s="12">
        <f>SUM(N15:N19)</f>
        <v>0.99999999999999989</v>
      </c>
      <c r="O20" s="12">
        <f>SUM(O15:O19)</f>
        <v>-5.5511151231257827E-17</v>
      </c>
    </row>
    <row r="21" spans="1:16">
      <c r="A21" s="5" t="s">
        <v>57</v>
      </c>
      <c r="B21" s="5" t="s">
        <v>30</v>
      </c>
      <c r="C21" s="5" t="s">
        <v>41</v>
      </c>
      <c r="D21" s="5" t="s">
        <v>39</v>
      </c>
      <c r="E21" s="5">
        <v>3</v>
      </c>
      <c r="F21" s="5">
        <v>8</v>
      </c>
      <c r="G21" s="5" t="s">
        <v>44</v>
      </c>
      <c r="H21" s="5" t="s">
        <v>50</v>
      </c>
    </row>
    <row r="22" spans="1:16">
      <c r="A22" s="5" t="s">
        <v>58</v>
      </c>
      <c r="B22" s="5" t="s">
        <v>33</v>
      </c>
      <c r="C22" s="5" t="s">
        <v>41</v>
      </c>
      <c r="D22" s="5" t="s">
        <v>32</v>
      </c>
      <c r="E22" s="5">
        <v>2</v>
      </c>
      <c r="F22" s="5">
        <v>5.3</v>
      </c>
      <c r="G22" s="5" t="s">
        <v>27</v>
      </c>
      <c r="H22" s="5" t="s">
        <v>19</v>
      </c>
      <c r="J22" t="s">
        <v>59</v>
      </c>
    </row>
    <row r="23" spans="1:16">
      <c r="A23" s="5" t="s">
        <v>60</v>
      </c>
      <c r="B23" s="5" t="s">
        <v>15</v>
      </c>
      <c r="C23" s="5" t="s">
        <v>31</v>
      </c>
      <c r="D23" s="5" t="s">
        <v>32</v>
      </c>
      <c r="E23" s="5">
        <v>6</v>
      </c>
      <c r="F23" s="5">
        <v>6.6</v>
      </c>
      <c r="G23" s="5" t="s">
        <v>27</v>
      </c>
      <c r="H23" s="5" t="s">
        <v>19</v>
      </c>
      <c r="J23" s="8" t="s">
        <v>61</v>
      </c>
      <c r="K23" s="8" t="s">
        <v>20</v>
      </c>
      <c r="L23" s="8" t="s">
        <v>21</v>
      </c>
      <c r="M23" s="9" t="s">
        <v>22</v>
      </c>
      <c r="N23" s="8" t="s">
        <v>23</v>
      </c>
      <c r="O23" s="8" t="s">
        <v>24</v>
      </c>
      <c r="P23" s="8" t="s">
        <v>25</v>
      </c>
    </row>
    <row r="24" spans="1:16">
      <c r="A24" s="5" t="s">
        <v>62</v>
      </c>
      <c r="B24" s="5" t="s">
        <v>30</v>
      </c>
      <c r="C24" s="5" t="s">
        <v>51</v>
      </c>
      <c r="D24" s="5" t="s">
        <v>17</v>
      </c>
      <c r="E24" s="5">
        <v>10</v>
      </c>
      <c r="F24" s="5">
        <v>7.7</v>
      </c>
      <c r="G24" s="5" t="s">
        <v>18</v>
      </c>
      <c r="H24" s="5" t="s">
        <v>19</v>
      </c>
      <c r="J24" t="s">
        <v>32</v>
      </c>
      <c r="K24">
        <f>COUNTIF(Table4[Customer_Type],"New")</f>
        <v>21</v>
      </c>
      <c r="L24" s="13">
        <f>K24/$K$27</f>
        <v>0.35</v>
      </c>
      <c r="M24" s="3">
        <f>COUNTIFS(Table4[Customer_Type],"New",Table4[Included_In_Sample],"Yes")</f>
        <v>16</v>
      </c>
      <c r="N24" s="10">
        <f>M24/M27</f>
        <v>0.38095238095238093</v>
      </c>
      <c r="O24" s="12">
        <f>N24-L24</f>
        <v>3.0952380952380953E-2</v>
      </c>
      <c r="P24" t="s">
        <v>34</v>
      </c>
    </row>
    <row r="25" spans="1:16">
      <c r="A25" s="5" t="s">
        <v>63</v>
      </c>
      <c r="B25" s="5" t="s">
        <v>36</v>
      </c>
      <c r="C25" s="5" t="s">
        <v>51</v>
      </c>
      <c r="D25" s="5" t="s">
        <v>17</v>
      </c>
      <c r="E25" s="5">
        <v>5</v>
      </c>
      <c r="F25" s="5">
        <v>8.6</v>
      </c>
      <c r="G25" s="5" t="s">
        <v>27</v>
      </c>
      <c r="H25" s="5" t="s">
        <v>19</v>
      </c>
      <c r="J25" t="s">
        <v>17</v>
      </c>
      <c r="K25">
        <f>COUNTIF(Table4[Customer_Type],"Returning")</f>
        <v>33</v>
      </c>
      <c r="L25" s="13">
        <f t="shared" ref="L25:L26" si="2">K25/$K$27</f>
        <v>0.55000000000000004</v>
      </c>
      <c r="M25" s="3">
        <f>COUNTIFS(Table4[Customer_Type],"Returning",Table4[Included_In_Sample],"Yes")</f>
        <v>24</v>
      </c>
      <c r="N25" s="10">
        <f>M25/M27</f>
        <v>0.5714285714285714</v>
      </c>
      <c r="O25" s="12">
        <f>N25-L25</f>
        <v>2.1428571428571352E-2</v>
      </c>
      <c r="P25" t="s">
        <v>34</v>
      </c>
    </row>
    <row r="26" spans="1:16">
      <c r="A26" s="5" t="s">
        <v>64</v>
      </c>
      <c r="B26" s="5" t="s">
        <v>30</v>
      </c>
      <c r="C26" s="5" t="s">
        <v>37</v>
      </c>
      <c r="D26" s="5" t="s">
        <v>32</v>
      </c>
      <c r="E26" s="5">
        <v>10</v>
      </c>
      <c r="F26" s="5">
        <v>6.3</v>
      </c>
      <c r="G26" s="5" t="s">
        <v>44</v>
      </c>
      <c r="H26" s="5" t="s">
        <v>50</v>
      </c>
      <c r="J26" t="s">
        <v>39</v>
      </c>
      <c r="K26">
        <f>COUNTIF(Table4[Customer_Type],"VIP")</f>
        <v>6</v>
      </c>
      <c r="L26" s="13">
        <f t="shared" si="2"/>
        <v>0.1</v>
      </c>
      <c r="M26" s="3">
        <f>COUNTIFS(Table4[Customer_Type],"VIP",Table4[Included_In_Sample],"Yes")</f>
        <v>2</v>
      </c>
      <c r="N26" s="10">
        <f>M26/M27</f>
        <v>4.7619047619047616E-2</v>
      </c>
      <c r="O26" s="12">
        <f>N26-L26</f>
        <v>-5.2380952380952389E-2</v>
      </c>
      <c r="P26" t="s">
        <v>28</v>
      </c>
    </row>
    <row r="27" spans="1:16">
      <c r="A27" s="5" t="s">
        <v>65</v>
      </c>
      <c r="B27" s="5" t="s">
        <v>30</v>
      </c>
      <c r="C27" s="5" t="s">
        <v>37</v>
      </c>
      <c r="D27" s="5" t="s">
        <v>17</v>
      </c>
      <c r="E27" s="5">
        <v>7</v>
      </c>
      <c r="F27" s="5">
        <v>5.9</v>
      </c>
      <c r="G27" s="5" t="s">
        <v>27</v>
      </c>
      <c r="H27" s="5" t="s">
        <v>19</v>
      </c>
      <c r="J27" t="s">
        <v>42</v>
      </c>
      <c r="K27">
        <f>SUM(K24:K26)</f>
        <v>60</v>
      </c>
      <c r="L27" s="14">
        <f>SUM(L24:L26)</f>
        <v>1</v>
      </c>
      <c r="M27" s="3">
        <f>SUM(M24:M26)</f>
        <v>42</v>
      </c>
      <c r="N27" s="12">
        <f>SUM(N24:N26)</f>
        <v>1</v>
      </c>
      <c r="O27" s="12">
        <f>SUM(O24:O26)</f>
        <v>-8.3266726846886741E-17</v>
      </c>
    </row>
    <row r="28" spans="1:16">
      <c r="A28" s="5" t="s">
        <v>66</v>
      </c>
      <c r="B28" s="5" t="s">
        <v>30</v>
      </c>
      <c r="C28" s="5" t="s">
        <v>41</v>
      </c>
      <c r="D28" s="5" t="s">
        <v>32</v>
      </c>
      <c r="E28" s="5">
        <v>11</v>
      </c>
      <c r="F28" s="5">
        <v>4.9000000000000004</v>
      </c>
      <c r="G28" s="5" t="s">
        <v>27</v>
      </c>
      <c r="H28" s="5" t="s">
        <v>19</v>
      </c>
    </row>
    <row r="29" spans="1:16">
      <c r="A29" s="5" t="s">
        <v>67</v>
      </c>
      <c r="B29" s="5" t="s">
        <v>33</v>
      </c>
      <c r="C29" s="5" t="s">
        <v>41</v>
      </c>
      <c r="D29" s="5" t="s">
        <v>17</v>
      </c>
      <c r="E29" s="5">
        <v>5</v>
      </c>
      <c r="F29" s="5">
        <v>8.6</v>
      </c>
      <c r="G29" s="5" t="s">
        <v>68</v>
      </c>
      <c r="H29" s="5" t="s">
        <v>50</v>
      </c>
      <c r="J29" t="s">
        <v>69</v>
      </c>
    </row>
    <row r="30" spans="1:16">
      <c r="A30" s="5" t="s">
        <v>70</v>
      </c>
      <c r="B30" s="5" t="s">
        <v>33</v>
      </c>
      <c r="C30" s="5" t="s">
        <v>16</v>
      </c>
      <c r="D30" s="5" t="s">
        <v>32</v>
      </c>
      <c r="E30" s="5">
        <v>6</v>
      </c>
      <c r="F30" s="5">
        <v>6.8</v>
      </c>
      <c r="G30" s="5" t="s">
        <v>18</v>
      </c>
      <c r="H30" s="5" t="s">
        <v>19</v>
      </c>
      <c r="J30" s="8" t="s">
        <v>71</v>
      </c>
      <c r="K30" s="8" t="s">
        <v>20</v>
      </c>
      <c r="L30" s="8" t="s">
        <v>21</v>
      </c>
      <c r="M30" s="9" t="s">
        <v>22</v>
      </c>
      <c r="N30" s="8" t="s">
        <v>23</v>
      </c>
      <c r="O30" s="8" t="s">
        <v>24</v>
      </c>
      <c r="P30" s="8" t="s">
        <v>25</v>
      </c>
    </row>
    <row r="31" spans="1:16">
      <c r="A31" s="5" t="s">
        <v>72</v>
      </c>
      <c r="B31" s="5" t="s">
        <v>33</v>
      </c>
      <c r="C31" s="5" t="s">
        <v>16</v>
      </c>
      <c r="D31" s="5" t="s">
        <v>32</v>
      </c>
      <c r="E31" s="5">
        <v>4</v>
      </c>
      <c r="F31" s="5">
        <v>5.3</v>
      </c>
      <c r="G31" s="5" t="s">
        <v>18</v>
      </c>
      <c r="H31" s="5" t="s">
        <v>19</v>
      </c>
      <c r="J31" t="s">
        <v>18</v>
      </c>
      <c r="K31">
        <f>COUNTIF(Table4[Survey_Channel],"Email")</f>
        <v>26</v>
      </c>
      <c r="L31" s="13">
        <f>K31/K35</f>
        <v>0.43333333333333335</v>
      </c>
      <c r="M31" s="3">
        <f>COUNTIFS(Table4[Survey_Channel],"Email",Table4[Included_In_Sample],"Yes")</f>
        <v>23</v>
      </c>
      <c r="N31" s="13">
        <f>M31/M35</f>
        <v>0.54761904761904767</v>
      </c>
      <c r="O31" s="14">
        <f>N31-L31</f>
        <v>0.11428571428571432</v>
      </c>
      <c r="P31" t="s">
        <v>73</v>
      </c>
    </row>
    <row r="32" spans="1:16">
      <c r="A32" s="5" t="s">
        <v>74</v>
      </c>
      <c r="B32" s="5" t="s">
        <v>30</v>
      </c>
      <c r="C32" s="5" t="s">
        <v>37</v>
      </c>
      <c r="D32" s="5" t="s">
        <v>17</v>
      </c>
      <c r="E32" s="5">
        <v>1</v>
      </c>
      <c r="F32" s="5">
        <v>8.3000000000000007</v>
      </c>
      <c r="G32" s="5" t="s">
        <v>44</v>
      </c>
      <c r="H32" s="5" t="s">
        <v>50</v>
      </c>
      <c r="J32" t="s">
        <v>27</v>
      </c>
      <c r="K32">
        <f>COUNTIF(Table4[Survey_Channel],"In-App")</f>
        <v>19</v>
      </c>
      <c r="L32" s="13">
        <f>K32/K35</f>
        <v>0.31666666666666665</v>
      </c>
      <c r="M32" s="3">
        <f>COUNTIFS(Table4[Survey_Channel],"In-App",Table4[Included_In_Sample],"Yes")</f>
        <v>17</v>
      </c>
      <c r="N32" s="13">
        <f>M32/M35</f>
        <v>0.40476190476190477</v>
      </c>
      <c r="O32" s="14">
        <f>N32-L32</f>
        <v>8.8095238095238115E-2</v>
      </c>
      <c r="P32" t="s">
        <v>28</v>
      </c>
    </row>
    <row r="33" spans="1:16">
      <c r="A33" s="5" t="s">
        <v>75</v>
      </c>
      <c r="B33" s="5" t="s">
        <v>15</v>
      </c>
      <c r="C33" s="5" t="s">
        <v>31</v>
      </c>
      <c r="D33" s="5" t="s">
        <v>17</v>
      </c>
      <c r="E33" s="5">
        <v>12</v>
      </c>
      <c r="F33" s="5">
        <v>5.9</v>
      </c>
      <c r="G33" s="5" t="s">
        <v>68</v>
      </c>
      <c r="H33" s="5" t="s">
        <v>50</v>
      </c>
      <c r="J33" t="s">
        <v>76</v>
      </c>
      <c r="K33">
        <f>COUNTIF(Table4[Survey_Channel],"Phone")</f>
        <v>6</v>
      </c>
      <c r="L33" s="13">
        <f>K33/K35</f>
        <v>0.1</v>
      </c>
      <c r="M33" s="3">
        <f>COUNTIFS(Table4[Survey_Channel],"Phone",Table4[Included_In_Sample],"Yes")</f>
        <v>1</v>
      </c>
      <c r="N33" s="13">
        <f>M33/M35</f>
        <v>2.3809523809523808E-2</v>
      </c>
      <c r="O33" s="14">
        <f>N33-L33</f>
        <v>-7.6190476190476197E-2</v>
      </c>
      <c r="P33" t="s">
        <v>28</v>
      </c>
    </row>
    <row r="34" spans="1:16">
      <c r="A34" s="5" t="s">
        <v>77</v>
      </c>
      <c r="B34" s="5" t="s">
        <v>30</v>
      </c>
      <c r="C34" s="5" t="s">
        <v>41</v>
      </c>
      <c r="D34" s="5" t="s">
        <v>17</v>
      </c>
      <c r="E34" s="5">
        <v>5</v>
      </c>
      <c r="F34" s="5">
        <v>7.9</v>
      </c>
      <c r="G34" s="5" t="s">
        <v>18</v>
      </c>
      <c r="H34" s="5" t="s">
        <v>19</v>
      </c>
      <c r="J34" t="s">
        <v>44</v>
      </c>
      <c r="K34">
        <f>COUNTIF(Table4[Survey_Channel],"Store")</f>
        <v>9</v>
      </c>
      <c r="L34" s="13">
        <f>K34/K35</f>
        <v>0.15</v>
      </c>
      <c r="M34" s="3">
        <f>COUNTIFS(Table4[Survey_Channel],"Store",Table4[Included_In_Sample],"Yes")</f>
        <v>1</v>
      </c>
      <c r="N34" s="13">
        <f>M34/M35</f>
        <v>2.3809523809523808E-2</v>
      </c>
      <c r="O34" s="14">
        <f>N34-L34</f>
        <v>-0.12619047619047619</v>
      </c>
      <c r="P34" t="s">
        <v>73</v>
      </c>
    </row>
    <row r="35" spans="1:16">
      <c r="A35" s="5" t="s">
        <v>78</v>
      </c>
      <c r="B35" s="5" t="s">
        <v>36</v>
      </c>
      <c r="C35" s="5" t="s">
        <v>37</v>
      </c>
      <c r="D35" s="5" t="s">
        <v>17</v>
      </c>
      <c r="E35" s="5">
        <v>2</v>
      </c>
      <c r="F35" s="5">
        <v>7.6</v>
      </c>
      <c r="G35" s="5" t="s">
        <v>44</v>
      </c>
      <c r="H35" s="5" t="s">
        <v>50</v>
      </c>
      <c r="J35" t="s">
        <v>42</v>
      </c>
      <c r="K35">
        <f>SUM(K31:K34)</f>
        <v>60</v>
      </c>
      <c r="L35" s="14">
        <f>SUM(L31:L34)</f>
        <v>1</v>
      </c>
      <c r="M35" s="3">
        <f>SUM(M31:M34)</f>
        <v>42</v>
      </c>
      <c r="N35" s="14">
        <f>SUM(N31:N34)</f>
        <v>1</v>
      </c>
      <c r="O35" s="14">
        <f>SUM(O31:O34)</f>
        <v>0</v>
      </c>
    </row>
    <row r="36" spans="1:16">
      <c r="A36" s="5" t="s">
        <v>79</v>
      </c>
      <c r="B36" s="5" t="s">
        <v>36</v>
      </c>
      <c r="C36" s="5" t="s">
        <v>16</v>
      </c>
      <c r="D36" s="5" t="s">
        <v>17</v>
      </c>
      <c r="E36" s="5">
        <v>7</v>
      </c>
      <c r="F36" s="5">
        <v>7.3</v>
      </c>
      <c r="G36" s="5" t="s">
        <v>27</v>
      </c>
      <c r="H36" s="5" t="s">
        <v>50</v>
      </c>
    </row>
    <row r="37" spans="1:16">
      <c r="A37" s="5" t="s">
        <v>80</v>
      </c>
      <c r="B37" s="5" t="s">
        <v>36</v>
      </c>
      <c r="C37" s="5" t="s">
        <v>37</v>
      </c>
      <c r="D37" s="5" t="s">
        <v>17</v>
      </c>
      <c r="E37" s="5">
        <v>11</v>
      </c>
      <c r="F37" s="5">
        <v>7</v>
      </c>
      <c r="G37" s="5" t="s">
        <v>44</v>
      </c>
      <c r="H37" s="5" t="s">
        <v>50</v>
      </c>
      <c r="J37" t="s">
        <v>81</v>
      </c>
    </row>
    <row r="38" spans="1:16">
      <c r="A38" s="5" t="s">
        <v>82</v>
      </c>
      <c r="B38" s="5" t="s">
        <v>30</v>
      </c>
      <c r="C38" s="5" t="s">
        <v>41</v>
      </c>
      <c r="D38" s="5" t="s">
        <v>32</v>
      </c>
      <c r="E38" s="5">
        <v>2</v>
      </c>
      <c r="F38" s="5">
        <v>6.5</v>
      </c>
      <c r="G38" s="5" t="s">
        <v>18</v>
      </c>
      <c r="H38" s="5" t="s">
        <v>50</v>
      </c>
      <c r="J38" s="15" t="s">
        <v>83</v>
      </c>
      <c r="K38" s="15" t="s">
        <v>84</v>
      </c>
      <c r="L38" s="16" t="s">
        <v>85</v>
      </c>
    </row>
    <row r="39" spans="1:16">
      <c r="A39" s="5" t="s">
        <v>86</v>
      </c>
      <c r="B39" s="5" t="s">
        <v>30</v>
      </c>
      <c r="C39" s="5" t="s">
        <v>31</v>
      </c>
      <c r="D39" s="5" t="s">
        <v>17</v>
      </c>
      <c r="E39" s="5">
        <v>1</v>
      </c>
      <c r="F39" s="5">
        <v>8.6</v>
      </c>
      <c r="G39" s="5" t="s">
        <v>18</v>
      </c>
      <c r="H39" s="5" t="s">
        <v>19</v>
      </c>
      <c r="J39" t="s">
        <v>87</v>
      </c>
      <c r="K39" s="17">
        <f>AVERAGE(Table4[Purchase_Frequency])</f>
        <v>6.85</v>
      </c>
      <c r="L39" s="17">
        <f>ROUND(AVERAGEIFS(Table4[Purchase_Frequency],Table4[Included_In_Sample],"Yes"),2)</f>
        <v>6.88</v>
      </c>
    </row>
    <row r="40" spans="1:16">
      <c r="A40" s="5" t="s">
        <v>88</v>
      </c>
      <c r="B40" s="5" t="s">
        <v>30</v>
      </c>
      <c r="C40" s="5" t="s">
        <v>37</v>
      </c>
      <c r="D40" s="5" t="s">
        <v>39</v>
      </c>
      <c r="E40" s="5">
        <v>12</v>
      </c>
      <c r="F40" s="5">
        <v>4.9000000000000004</v>
      </c>
      <c r="G40" s="5" t="s">
        <v>68</v>
      </c>
      <c r="H40" s="5" t="s">
        <v>50</v>
      </c>
      <c r="J40" s="17" t="s">
        <v>89</v>
      </c>
      <c r="K40" s="17">
        <f>AVERAGE(Table4[Satisfaction_Score])</f>
        <v>6.6350000000000007</v>
      </c>
      <c r="L40" s="17">
        <f>ROUND(AVERAGEIFS(Table4[Satisfaction_Score],Table4[Included_In_Sample],"Yes"),2)</f>
        <v>6.59</v>
      </c>
    </row>
    <row r="41" spans="1:16">
      <c r="A41" s="5" t="s">
        <v>90</v>
      </c>
      <c r="B41" s="5" t="s">
        <v>33</v>
      </c>
      <c r="C41" s="5" t="s">
        <v>16</v>
      </c>
      <c r="D41" s="5" t="s">
        <v>17</v>
      </c>
      <c r="E41" s="5">
        <v>8</v>
      </c>
      <c r="F41" s="5">
        <v>6.6</v>
      </c>
      <c r="G41" s="5" t="s">
        <v>44</v>
      </c>
      <c r="H41" s="5" t="s">
        <v>50</v>
      </c>
    </row>
    <row r="42" spans="1:16">
      <c r="A42" s="5" t="s">
        <v>91</v>
      </c>
      <c r="B42" s="5" t="s">
        <v>36</v>
      </c>
      <c r="C42" s="5" t="s">
        <v>31</v>
      </c>
      <c r="D42" s="5" t="s">
        <v>17</v>
      </c>
      <c r="E42" s="5">
        <v>12</v>
      </c>
      <c r="F42" s="5">
        <v>5.4</v>
      </c>
      <c r="G42" s="5" t="s">
        <v>68</v>
      </c>
      <c r="H42" s="5" t="s">
        <v>19</v>
      </c>
      <c r="J42" t="s">
        <v>92</v>
      </c>
    </row>
    <row r="43" spans="1:16">
      <c r="A43" s="5" t="s">
        <v>93</v>
      </c>
      <c r="B43" s="5" t="s">
        <v>15</v>
      </c>
      <c r="C43" s="5" t="s">
        <v>16</v>
      </c>
      <c r="D43" s="5" t="s">
        <v>17</v>
      </c>
      <c r="E43" s="5">
        <v>12</v>
      </c>
      <c r="F43" s="5">
        <v>8.9</v>
      </c>
      <c r="G43" s="5" t="s">
        <v>27</v>
      </c>
      <c r="H43" s="5" t="s">
        <v>19</v>
      </c>
      <c r="J43" t="s">
        <v>94</v>
      </c>
    </row>
    <row r="44" spans="1:16">
      <c r="A44" s="5" t="s">
        <v>95</v>
      </c>
      <c r="B44" s="5" t="s">
        <v>36</v>
      </c>
      <c r="C44" s="5" t="s">
        <v>37</v>
      </c>
      <c r="D44" s="5" t="s">
        <v>17</v>
      </c>
      <c r="E44" s="5">
        <v>3</v>
      </c>
      <c r="F44" s="5">
        <v>4.9000000000000004</v>
      </c>
      <c r="G44" s="5" t="s">
        <v>27</v>
      </c>
      <c r="H44" s="5" t="s">
        <v>19</v>
      </c>
    </row>
    <row r="45" spans="1:16">
      <c r="A45" s="5" t="s">
        <v>96</v>
      </c>
      <c r="B45" s="5" t="s">
        <v>15</v>
      </c>
      <c r="C45" s="5" t="s">
        <v>16</v>
      </c>
      <c r="D45" s="5" t="s">
        <v>32</v>
      </c>
      <c r="E45" s="5">
        <v>3</v>
      </c>
      <c r="F45" s="5">
        <v>4.4000000000000004</v>
      </c>
      <c r="G45" s="5" t="s">
        <v>18</v>
      </c>
      <c r="H45" s="5" t="s">
        <v>19</v>
      </c>
      <c r="J45" t="s">
        <v>97</v>
      </c>
    </row>
    <row r="46" spans="1:16">
      <c r="A46" s="5" t="s">
        <v>98</v>
      </c>
      <c r="B46" s="5" t="s">
        <v>33</v>
      </c>
      <c r="C46" s="5" t="s">
        <v>16</v>
      </c>
      <c r="D46" s="5" t="s">
        <v>17</v>
      </c>
      <c r="E46" s="5">
        <v>12</v>
      </c>
      <c r="F46" s="5">
        <v>7.7</v>
      </c>
      <c r="G46" s="5" t="s">
        <v>27</v>
      </c>
      <c r="H46" s="5" t="s">
        <v>19</v>
      </c>
      <c r="J46" s="15" t="s">
        <v>99</v>
      </c>
      <c r="K46" s="16" t="s">
        <v>100</v>
      </c>
    </row>
    <row r="47" spans="1:16">
      <c r="A47" s="5" t="s">
        <v>101</v>
      </c>
      <c r="B47" s="5" t="s">
        <v>15</v>
      </c>
      <c r="C47" s="5" t="s">
        <v>37</v>
      </c>
      <c r="D47" s="5" t="s">
        <v>32</v>
      </c>
      <c r="E47" s="5">
        <v>2</v>
      </c>
      <c r="F47" s="5">
        <v>5.7</v>
      </c>
      <c r="G47" s="5" t="s">
        <v>27</v>
      </c>
      <c r="H47" s="5" t="s">
        <v>19</v>
      </c>
      <c r="J47" s="18" t="s">
        <v>102</v>
      </c>
      <c r="K47" s="18" t="s">
        <v>103</v>
      </c>
    </row>
    <row r="48" spans="1:16">
      <c r="A48" s="5" t="s">
        <v>104</v>
      </c>
      <c r="B48" s="5" t="s">
        <v>30</v>
      </c>
      <c r="C48" s="5" t="s">
        <v>37</v>
      </c>
      <c r="D48" s="5" t="s">
        <v>32</v>
      </c>
      <c r="E48" s="5">
        <v>12</v>
      </c>
      <c r="F48" s="5">
        <v>6.5</v>
      </c>
      <c r="G48" s="5" t="s">
        <v>18</v>
      </c>
      <c r="H48" s="5" t="s">
        <v>19</v>
      </c>
      <c r="J48" s="18" t="s">
        <v>105</v>
      </c>
      <c r="K48" s="18" t="s">
        <v>106</v>
      </c>
    </row>
    <row r="49" spans="1:11">
      <c r="A49" s="5" t="s">
        <v>107</v>
      </c>
      <c r="B49" s="5" t="s">
        <v>30</v>
      </c>
      <c r="C49" s="5" t="s">
        <v>31</v>
      </c>
      <c r="D49" s="5" t="s">
        <v>32</v>
      </c>
      <c r="E49" s="5">
        <v>8</v>
      </c>
      <c r="F49" s="5">
        <v>6.6</v>
      </c>
      <c r="G49" s="5" t="s">
        <v>18</v>
      </c>
      <c r="H49" s="5" t="s">
        <v>19</v>
      </c>
      <c r="J49" s="18" t="s">
        <v>108</v>
      </c>
      <c r="K49" s="18" t="s">
        <v>109</v>
      </c>
    </row>
    <row r="50" spans="1:11">
      <c r="A50" s="5" t="s">
        <v>110</v>
      </c>
      <c r="B50" s="5" t="s">
        <v>30</v>
      </c>
      <c r="C50" s="5" t="s">
        <v>31</v>
      </c>
      <c r="D50" s="5" t="s">
        <v>32</v>
      </c>
      <c r="E50" s="5">
        <v>10</v>
      </c>
      <c r="F50" s="5">
        <v>6.5</v>
      </c>
      <c r="G50" s="5" t="s">
        <v>68</v>
      </c>
      <c r="H50" s="5" t="s">
        <v>50</v>
      </c>
    </row>
    <row r="51" spans="1:11">
      <c r="A51" s="5" t="s">
        <v>111</v>
      </c>
      <c r="B51" s="5" t="s">
        <v>30</v>
      </c>
      <c r="C51" s="5" t="s">
        <v>51</v>
      </c>
      <c r="D51" s="5" t="s">
        <v>17</v>
      </c>
      <c r="E51" s="5">
        <v>5</v>
      </c>
      <c r="F51" s="5">
        <v>5.3</v>
      </c>
      <c r="G51" s="5" t="s">
        <v>18</v>
      </c>
      <c r="H51" s="5" t="s">
        <v>19</v>
      </c>
      <c r="J51" s="18" t="s">
        <v>112</v>
      </c>
    </row>
    <row r="52" spans="1:11">
      <c r="A52" s="5" t="s">
        <v>113</v>
      </c>
      <c r="B52" s="5" t="s">
        <v>36</v>
      </c>
      <c r="C52" s="5" t="s">
        <v>41</v>
      </c>
      <c r="D52" s="5" t="s">
        <v>32</v>
      </c>
      <c r="E52" s="5">
        <v>6</v>
      </c>
      <c r="F52" s="5">
        <v>4.9000000000000004</v>
      </c>
      <c r="G52" s="5" t="s">
        <v>18</v>
      </c>
      <c r="H52" s="5" t="s">
        <v>50</v>
      </c>
      <c r="J52" t="s">
        <v>114</v>
      </c>
    </row>
    <row r="53" spans="1:11">
      <c r="A53" s="5" t="s">
        <v>115</v>
      </c>
      <c r="B53" s="5" t="s">
        <v>30</v>
      </c>
      <c r="C53" s="5" t="s">
        <v>41</v>
      </c>
      <c r="D53" s="5" t="s">
        <v>17</v>
      </c>
      <c r="E53" s="5">
        <v>4</v>
      </c>
      <c r="F53" s="5">
        <v>7.8</v>
      </c>
      <c r="G53" s="5" t="s">
        <v>18</v>
      </c>
      <c r="H53" s="5" t="s">
        <v>19</v>
      </c>
    </row>
    <row r="54" spans="1:11">
      <c r="A54" s="5" t="s">
        <v>116</v>
      </c>
      <c r="B54" s="5" t="s">
        <v>36</v>
      </c>
      <c r="C54" s="5" t="s">
        <v>31</v>
      </c>
      <c r="D54" s="5" t="s">
        <v>32</v>
      </c>
      <c r="E54" s="5">
        <v>8</v>
      </c>
      <c r="F54" s="5">
        <v>2.7</v>
      </c>
      <c r="G54" s="5" t="s">
        <v>27</v>
      </c>
      <c r="H54" s="5" t="s">
        <v>19</v>
      </c>
    </row>
    <row r="55" spans="1:11">
      <c r="A55" s="5" t="s">
        <v>117</v>
      </c>
      <c r="B55" s="5" t="s">
        <v>15</v>
      </c>
      <c r="C55" s="5" t="s">
        <v>51</v>
      </c>
      <c r="D55" s="5" t="s">
        <v>32</v>
      </c>
      <c r="E55" s="5">
        <v>12</v>
      </c>
      <c r="F55" s="5">
        <v>8</v>
      </c>
      <c r="G55" s="5" t="s">
        <v>44</v>
      </c>
      <c r="H55" s="5" t="s">
        <v>50</v>
      </c>
    </row>
    <row r="56" spans="1:11">
      <c r="A56" s="5" t="s">
        <v>118</v>
      </c>
      <c r="B56" s="5" t="s">
        <v>30</v>
      </c>
      <c r="C56" s="5" t="s">
        <v>41</v>
      </c>
      <c r="D56" s="5" t="s">
        <v>32</v>
      </c>
      <c r="E56" s="5">
        <v>8</v>
      </c>
      <c r="F56" s="5">
        <v>7.2</v>
      </c>
      <c r="G56" s="5" t="s">
        <v>18</v>
      </c>
      <c r="H56" s="5" t="s">
        <v>19</v>
      </c>
    </row>
    <row r="57" spans="1:11">
      <c r="A57" s="5" t="s">
        <v>119</v>
      </c>
      <c r="B57" s="5" t="s">
        <v>15</v>
      </c>
      <c r="C57" s="5" t="s">
        <v>31</v>
      </c>
      <c r="D57" s="5" t="s">
        <v>17</v>
      </c>
      <c r="E57" s="5">
        <v>6</v>
      </c>
      <c r="F57" s="5">
        <v>5.0999999999999996</v>
      </c>
      <c r="G57" s="5" t="s">
        <v>27</v>
      </c>
      <c r="H57" s="5" t="s">
        <v>19</v>
      </c>
    </row>
    <row r="58" spans="1:11">
      <c r="A58" s="5" t="s">
        <v>120</v>
      </c>
      <c r="B58" s="5" t="s">
        <v>15</v>
      </c>
      <c r="C58" s="5" t="s">
        <v>16</v>
      </c>
      <c r="D58" s="5" t="s">
        <v>17</v>
      </c>
      <c r="E58" s="5">
        <v>12</v>
      </c>
      <c r="F58" s="5">
        <v>5.2</v>
      </c>
      <c r="G58" s="5" t="s">
        <v>27</v>
      </c>
      <c r="H58" s="5" t="s">
        <v>19</v>
      </c>
    </row>
    <row r="59" spans="1:11">
      <c r="A59" s="5" t="s">
        <v>121</v>
      </c>
      <c r="B59" s="5" t="s">
        <v>15</v>
      </c>
      <c r="C59" s="5" t="s">
        <v>51</v>
      </c>
      <c r="D59" s="5" t="s">
        <v>32</v>
      </c>
      <c r="E59" s="5">
        <v>12</v>
      </c>
      <c r="F59" s="5">
        <v>5.0999999999999996</v>
      </c>
      <c r="G59" s="5" t="s">
        <v>18</v>
      </c>
      <c r="H59" s="5" t="s">
        <v>19</v>
      </c>
    </row>
    <row r="60" spans="1:11">
      <c r="A60" s="5" t="s">
        <v>122</v>
      </c>
      <c r="B60" s="5" t="s">
        <v>30</v>
      </c>
      <c r="C60" s="5" t="s">
        <v>51</v>
      </c>
      <c r="D60" s="5" t="s">
        <v>17</v>
      </c>
      <c r="E60" s="5">
        <v>4</v>
      </c>
      <c r="F60" s="5">
        <v>7.1</v>
      </c>
      <c r="G60" s="5" t="s">
        <v>18</v>
      </c>
      <c r="H60" s="5" t="s">
        <v>50</v>
      </c>
    </row>
    <row r="61" spans="1:11">
      <c r="A61" s="5" t="s">
        <v>123</v>
      </c>
      <c r="B61" s="5" t="s">
        <v>36</v>
      </c>
      <c r="C61" s="5" t="s">
        <v>31</v>
      </c>
      <c r="D61" s="5" t="s">
        <v>17</v>
      </c>
      <c r="E61" s="5">
        <v>9</v>
      </c>
      <c r="F61" s="5">
        <v>9.5</v>
      </c>
      <c r="G61" s="5" t="s">
        <v>27</v>
      </c>
      <c r="H61" s="5" t="s">
        <v>19</v>
      </c>
    </row>
    <row r="62" spans="1:11">
      <c r="A62" s="5" t="s">
        <v>124</v>
      </c>
      <c r="B62" s="5" t="s">
        <v>36</v>
      </c>
      <c r="C62" s="5" t="s">
        <v>16</v>
      </c>
      <c r="D62" s="5" t="s">
        <v>17</v>
      </c>
      <c r="E62" s="5">
        <v>1</v>
      </c>
      <c r="F62" s="5">
        <v>8.1</v>
      </c>
      <c r="G62" s="5" t="s">
        <v>18</v>
      </c>
      <c r="H62" s="5" t="s">
        <v>19</v>
      </c>
    </row>
    <row r="63" spans="1:11">
      <c r="A63" s="5" t="s">
        <v>125</v>
      </c>
      <c r="B63" s="5" t="s">
        <v>15</v>
      </c>
      <c r="C63" s="5" t="s">
        <v>37</v>
      </c>
      <c r="D63" s="5" t="s">
        <v>17</v>
      </c>
      <c r="E63" s="5">
        <v>4</v>
      </c>
      <c r="F63" s="5">
        <v>6.5</v>
      </c>
      <c r="G63" s="5" t="s">
        <v>18</v>
      </c>
      <c r="H63" s="5" t="s">
        <v>19</v>
      </c>
    </row>
    <row r="64" spans="1:11">
      <c r="A64" s="5" t="s">
        <v>126</v>
      </c>
      <c r="B64" s="5" t="s">
        <v>30</v>
      </c>
      <c r="C64" s="5" t="s">
        <v>51</v>
      </c>
      <c r="D64" s="5" t="s">
        <v>17</v>
      </c>
      <c r="E64" s="5">
        <v>3</v>
      </c>
      <c r="F64" s="5">
        <v>5.2</v>
      </c>
      <c r="G64" s="5" t="s">
        <v>68</v>
      </c>
      <c r="H64" s="5" t="s">
        <v>50</v>
      </c>
    </row>
    <row r="65" spans="1:8">
      <c r="A65" s="5" t="s">
        <v>127</v>
      </c>
      <c r="B65" s="5" t="s">
        <v>15</v>
      </c>
      <c r="C65" s="5" t="s">
        <v>31</v>
      </c>
      <c r="D65" s="5" t="s">
        <v>17</v>
      </c>
      <c r="E65" s="5">
        <v>2</v>
      </c>
      <c r="F65" s="5">
        <v>6.8</v>
      </c>
      <c r="G65" s="5" t="s">
        <v>27</v>
      </c>
      <c r="H65" s="5" t="s">
        <v>19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Day 13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Omotoye</dc:creator>
  <cp:lastModifiedBy>David Omotoye</cp:lastModifiedBy>
  <dcterms:created xsi:type="dcterms:W3CDTF">2026-05-07T13:00:01Z</dcterms:created>
  <dcterms:modified xsi:type="dcterms:W3CDTF">2026-05-07T13:02:34Z</dcterms:modified>
</cp:coreProperties>
</file>