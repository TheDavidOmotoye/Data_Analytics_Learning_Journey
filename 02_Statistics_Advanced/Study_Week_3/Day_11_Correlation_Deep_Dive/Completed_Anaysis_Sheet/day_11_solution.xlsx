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455B0BC2-3ED4-43B6-8E6F-B0B0B4800FE3}" xr6:coauthVersionLast="47" xr6:coauthVersionMax="47" xr10:uidLastSave="{00000000-0000-0000-0000-000000000000}"/>
  <bookViews>
    <workbookView xWindow="-108" yWindow="-108" windowWidth="23256" windowHeight="12456" xr2:uid="{317F0133-1821-4601-B3D0-C1EC2EFE8E6A}"/>
  </bookViews>
  <sheets>
    <sheet name="Day 1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4" i="1" l="1"/>
  <c r="O74" i="1"/>
  <c r="P73" i="1"/>
  <c r="O73" i="1"/>
  <c r="P72" i="1"/>
  <c r="O72" i="1"/>
  <c r="P71" i="1"/>
  <c r="O71" i="1"/>
  <c r="P70" i="1"/>
  <c r="O70" i="1"/>
  <c r="T63" i="1"/>
  <c r="S63" i="1"/>
  <c r="R63" i="1"/>
  <c r="Q63" i="1"/>
  <c r="P63" i="1"/>
  <c r="O63" i="1"/>
  <c r="T62" i="1"/>
  <c r="S62" i="1"/>
  <c r="R62" i="1"/>
  <c r="R64" i="1" s="1"/>
  <c r="R66" i="1" s="1"/>
  <c r="Q62" i="1"/>
  <c r="P62" i="1"/>
  <c r="O62" i="1"/>
  <c r="T61" i="1"/>
  <c r="S61" i="1"/>
  <c r="R61" i="1"/>
  <c r="Q61" i="1"/>
  <c r="P61" i="1"/>
  <c r="O61" i="1"/>
  <c r="T60" i="1"/>
  <c r="S60" i="1"/>
  <c r="R60" i="1"/>
  <c r="Q60" i="1"/>
  <c r="P60" i="1"/>
  <c r="O60" i="1"/>
  <c r="T59" i="1"/>
  <c r="S59" i="1"/>
  <c r="R59" i="1"/>
  <c r="Q59" i="1"/>
  <c r="P59" i="1"/>
  <c r="O59" i="1"/>
  <c r="T56" i="1"/>
  <c r="S56" i="1"/>
  <c r="R56" i="1"/>
  <c r="Q56" i="1"/>
  <c r="P56" i="1"/>
  <c r="O56" i="1"/>
  <c r="T55" i="1"/>
  <c r="T57" i="1" s="1"/>
  <c r="S55" i="1"/>
  <c r="S57" i="1" s="1"/>
  <c r="R55" i="1"/>
  <c r="R57" i="1" s="1"/>
  <c r="Q55" i="1"/>
  <c r="Q57" i="1" s="1"/>
  <c r="P55" i="1"/>
  <c r="P57" i="1" s="1"/>
  <c r="O55" i="1"/>
  <c r="O57" i="1" s="1"/>
  <c r="M45" i="1"/>
  <c r="L45" i="1"/>
  <c r="K45" i="1"/>
  <c r="J45" i="1"/>
  <c r="I45" i="1"/>
  <c r="H45" i="1"/>
  <c r="M44" i="1"/>
  <c r="L44" i="1"/>
  <c r="K44" i="1"/>
  <c r="J44" i="1"/>
  <c r="I44" i="1"/>
  <c r="H44" i="1"/>
  <c r="M43" i="1"/>
  <c r="L43" i="1"/>
  <c r="K43" i="1"/>
  <c r="J43" i="1"/>
  <c r="I43" i="1"/>
  <c r="H43" i="1"/>
  <c r="M42" i="1"/>
  <c r="L42" i="1"/>
  <c r="K42" i="1"/>
  <c r="J42" i="1"/>
  <c r="I42" i="1"/>
  <c r="H42" i="1"/>
  <c r="M41" i="1"/>
  <c r="L41" i="1"/>
  <c r="K41" i="1"/>
  <c r="J41" i="1"/>
  <c r="I41" i="1"/>
  <c r="H41" i="1"/>
  <c r="M40" i="1"/>
  <c r="L40" i="1"/>
  <c r="K40" i="1"/>
  <c r="J40" i="1"/>
  <c r="I40" i="1"/>
  <c r="H40" i="1"/>
  <c r="M39" i="1"/>
  <c r="L39" i="1"/>
  <c r="K39" i="1"/>
  <c r="J39" i="1"/>
  <c r="I39" i="1"/>
  <c r="H39" i="1"/>
  <c r="M38" i="1"/>
  <c r="L38" i="1"/>
  <c r="K38" i="1"/>
  <c r="J38" i="1"/>
  <c r="I38" i="1"/>
  <c r="H38" i="1"/>
  <c r="M37" i="1"/>
  <c r="L37" i="1"/>
  <c r="K37" i="1"/>
  <c r="J37" i="1"/>
  <c r="I37" i="1"/>
  <c r="H37" i="1"/>
  <c r="M36" i="1"/>
  <c r="L36" i="1"/>
  <c r="K36" i="1"/>
  <c r="J36" i="1"/>
  <c r="I36" i="1"/>
  <c r="H36" i="1"/>
  <c r="M35" i="1"/>
  <c r="L35" i="1"/>
  <c r="K35" i="1"/>
  <c r="J35" i="1"/>
  <c r="I35" i="1"/>
  <c r="H35" i="1"/>
  <c r="M34" i="1"/>
  <c r="L34" i="1"/>
  <c r="K34" i="1"/>
  <c r="J34" i="1"/>
  <c r="I34" i="1"/>
  <c r="H34" i="1"/>
  <c r="M33" i="1"/>
  <c r="L33" i="1"/>
  <c r="K33" i="1"/>
  <c r="J33" i="1"/>
  <c r="I33" i="1"/>
  <c r="H33" i="1"/>
  <c r="M32" i="1"/>
  <c r="L32" i="1"/>
  <c r="K32" i="1"/>
  <c r="J32" i="1"/>
  <c r="I32" i="1"/>
  <c r="H32" i="1"/>
  <c r="M31" i="1"/>
  <c r="L31" i="1"/>
  <c r="K31" i="1"/>
  <c r="J31" i="1"/>
  <c r="I31" i="1"/>
  <c r="H31" i="1"/>
  <c r="M30" i="1"/>
  <c r="L30" i="1"/>
  <c r="K30" i="1"/>
  <c r="J30" i="1"/>
  <c r="I30" i="1"/>
  <c r="H30" i="1"/>
  <c r="M29" i="1"/>
  <c r="L29" i="1"/>
  <c r="K29" i="1"/>
  <c r="J29" i="1"/>
  <c r="I29" i="1"/>
  <c r="H29" i="1"/>
  <c r="M28" i="1"/>
  <c r="L28" i="1"/>
  <c r="K28" i="1"/>
  <c r="J28" i="1"/>
  <c r="I28" i="1"/>
  <c r="H28" i="1"/>
  <c r="M27" i="1"/>
  <c r="L27" i="1"/>
  <c r="K27" i="1"/>
  <c r="J27" i="1"/>
  <c r="I27" i="1"/>
  <c r="H27" i="1"/>
  <c r="M26" i="1"/>
  <c r="L26" i="1"/>
  <c r="K26" i="1"/>
  <c r="J26" i="1"/>
  <c r="I26" i="1"/>
  <c r="H26" i="1"/>
  <c r="M25" i="1"/>
  <c r="L25" i="1"/>
  <c r="K25" i="1"/>
  <c r="J25" i="1"/>
  <c r="I25" i="1"/>
  <c r="H25" i="1"/>
  <c r="M24" i="1"/>
  <c r="L24" i="1"/>
  <c r="K24" i="1"/>
  <c r="J24" i="1"/>
  <c r="I24" i="1"/>
  <c r="H24" i="1"/>
  <c r="M23" i="1"/>
  <c r="L23" i="1"/>
  <c r="K23" i="1"/>
  <c r="J23" i="1"/>
  <c r="I23" i="1"/>
  <c r="H23" i="1"/>
  <c r="M22" i="1"/>
  <c r="L22" i="1"/>
  <c r="K22" i="1"/>
  <c r="J22" i="1"/>
  <c r="I22" i="1"/>
  <c r="H22" i="1"/>
  <c r="M21" i="1"/>
  <c r="L21" i="1"/>
  <c r="K21" i="1"/>
  <c r="J21" i="1"/>
  <c r="I21" i="1"/>
  <c r="H21" i="1"/>
  <c r="M20" i="1"/>
  <c r="L20" i="1"/>
  <c r="K20" i="1"/>
  <c r="J20" i="1"/>
  <c r="I20" i="1"/>
  <c r="H20" i="1"/>
  <c r="M19" i="1"/>
  <c r="L19" i="1"/>
  <c r="K19" i="1"/>
  <c r="J19" i="1"/>
  <c r="I19" i="1"/>
  <c r="H19" i="1"/>
  <c r="M18" i="1"/>
  <c r="L18" i="1"/>
  <c r="K18" i="1"/>
  <c r="J18" i="1"/>
  <c r="I18" i="1"/>
  <c r="H18" i="1"/>
  <c r="M17" i="1"/>
  <c r="L17" i="1"/>
  <c r="K17" i="1"/>
  <c r="J17" i="1"/>
  <c r="I17" i="1"/>
  <c r="H17" i="1"/>
  <c r="M16" i="1"/>
  <c r="L16" i="1"/>
  <c r="K16" i="1"/>
  <c r="J16" i="1"/>
  <c r="I16" i="1"/>
  <c r="H16" i="1"/>
  <c r="M15" i="1"/>
  <c r="L15" i="1"/>
  <c r="K15" i="1"/>
  <c r="J15" i="1"/>
  <c r="I15" i="1"/>
  <c r="H15" i="1"/>
  <c r="M14" i="1"/>
  <c r="L14" i="1"/>
  <c r="K14" i="1"/>
  <c r="J14" i="1"/>
  <c r="I14" i="1"/>
  <c r="H14" i="1"/>
  <c r="M13" i="1"/>
  <c r="L13" i="1"/>
  <c r="K13" i="1"/>
  <c r="J13" i="1"/>
  <c r="I13" i="1"/>
  <c r="H13" i="1"/>
  <c r="M12" i="1"/>
  <c r="L12" i="1"/>
  <c r="K12" i="1"/>
  <c r="J12" i="1"/>
  <c r="I12" i="1"/>
  <c r="H12" i="1"/>
  <c r="M11" i="1"/>
  <c r="L11" i="1"/>
  <c r="K11" i="1"/>
  <c r="J11" i="1"/>
  <c r="I11" i="1"/>
  <c r="H11" i="1"/>
  <c r="M10" i="1"/>
  <c r="L10" i="1"/>
  <c r="K10" i="1"/>
  <c r="J10" i="1"/>
  <c r="I10" i="1"/>
  <c r="H10" i="1"/>
  <c r="M9" i="1"/>
  <c r="L9" i="1"/>
  <c r="K9" i="1"/>
  <c r="J9" i="1"/>
  <c r="I9" i="1"/>
  <c r="H9" i="1"/>
  <c r="M8" i="1"/>
  <c r="L8" i="1"/>
  <c r="K8" i="1"/>
  <c r="J8" i="1"/>
  <c r="I8" i="1"/>
  <c r="H8" i="1"/>
  <c r="M7" i="1"/>
  <c r="L7" i="1"/>
  <c r="K7" i="1"/>
  <c r="J7" i="1"/>
  <c r="I7" i="1"/>
  <c r="H7" i="1"/>
  <c r="M6" i="1"/>
  <c r="L6" i="1"/>
  <c r="O81" i="1" s="1"/>
  <c r="K6" i="1"/>
  <c r="O82" i="1" s="1"/>
  <c r="J6" i="1"/>
  <c r="O80" i="1" s="1"/>
  <c r="I6" i="1"/>
  <c r="O79" i="1" s="1"/>
  <c r="H6" i="1"/>
  <c r="O78" i="1" s="1"/>
  <c r="P66" i="1" l="1"/>
  <c r="T66" i="1"/>
  <c r="Q66" i="1"/>
  <c r="P64" i="1"/>
  <c r="P65" i="1" s="1"/>
  <c r="T64" i="1"/>
  <c r="T65" i="1" s="1"/>
  <c r="R65" i="1"/>
  <c r="O64" i="1"/>
  <c r="O66" i="1" s="1"/>
  <c r="S64" i="1"/>
  <c r="S66" i="1" s="1"/>
  <c r="Q64" i="1"/>
  <c r="Q65" i="1" s="1"/>
  <c r="S65" i="1" l="1"/>
  <c r="O65" i="1"/>
</calcChain>
</file>

<file path=xl/sharedStrings.xml><?xml version="1.0" encoding="utf-8"?>
<sst xmlns="http://schemas.openxmlformats.org/spreadsheetml/2006/main" count="112" uniqueCount="104">
  <si>
    <t>DAY 11: Correlation Deep Dive</t>
  </si>
  <si>
    <t>Objective</t>
  </si>
  <si>
    <t>Use correlation to measure strength and direction of relationships between variables.</t>
  </si>
  <si>
    <t>Suggested Practice:</t>
  </si>
  <si>
    <t>Calculate Pearson and Spearman correlation, rank key variables, create scatter plots, and explain correlation strength/direction.</t>
  </si>
  <si>
    <t>Student_ID</t>
  </si>
  <si>
    <t>Study_Hours</t>
  </si>
  <si>
    <t>Attendance_%</t>
  </si>
  <si>
    <t>Sleep_Hours</t>
  </si>
  <si>
    <t>Exam_Score</t>
  </si>
  <si>
    <t>Screen_Time_Hours</t>
  </si>
  <si>
    <t>Practice_Test_Score</t>
  </si>
  <si>
    <t>Study_Hours_Rank</t>
  </si>
  <si>
    <t>Attendance_Rank</t>
  </si>
  <si>
    <t>Sleep_Rank</t>
  </si>
  <si>
    <t>Exam_Score_Rank</t>
  </si>
  <si>
    <t>Screen_Time_Rank</t>
  </si>
  <si>
    <t>Practice_Test_Rank</t>
  </si>
  <si>
    <t>STU-001</t>
  </si>
  <si>
    <t>STU-002</t>
  </si>
  <si>
    <t>STU-003</t>
  </si>
  <si>
    <t>STU-004</t>
  </si>
  <si>
    <t>STU-005</t>
  </si>
  <si>
    <t>STU-006</t>
  </si>
  <si>
    <t>STU-007</t>
  </si>
  <si>
    <t>STU-008</t>
  </si>
  <si>
    <t>STU-009</t>
  </si>
  <si>
    <t>STU-010</t>
  </si>
  <si>
    <t>STU-011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</si>
  <si>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</si>
  <si>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</si>
  <si>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</si>
  <si>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</si>
  <si>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</si>
  <si>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</si>
  <si>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</si>
  <si>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</si>
  <si>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</si>
  <si>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</si>
  <si>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</si>
  <si>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</si>
  <si>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</si>
  <si>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</si>
  <si>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</si>
  <si>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</si>
  <si>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</si>
  <si>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</si>
  <si>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</si>
  <si>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STU-031</t>
  </si>
  <si>
    <t>STU-032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</si>
  <si>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</si>
  <si>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</si>
  <si>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</si>
  <si>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</si>
  <si>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</si>
  <si>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</si>
  <si>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</si>
  <si>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</si>
  <si>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METRIC</t>
  </si>
  <si>
    <t>Screen_Time</t>
  </si>
  <si>
    <t>Practice_Test</t>
  </si>
  <si>
    <t>MEAN</t>
  </si>
  <si>
    <t>MEDIAN</t>
  </si>
  <si>
    <t xml:space="preserve">TEN. DIFF. </t>
  </si>
  <si>
    <t>SKEW</t>
  </si>
  <si>
    <t>SLIGHTLY +VE</t>
  </si>
  <si>
    <t>STRONGLY -VE</t>
  </si>
  <si>
    <t>MILDLY CENTRED</t>
  </si>
  <si>
    <t>STRONGLY +VE</t>
  </si>
  <si>
    <t>SLIGHTLY -VE</t>
  </si>
  <si>
    <t>STANDARD DEV.</t>
  </si>
  <si>
    <t>MIN</t>
  </si>
  <si>
    <t>MAX</t>
  </si>
  <si>
    <t>Q1</t>
  </si>
  <si>
    <t>Q3</t>
  </si>
  <si>
    <t>IQR</t>
  </si>
  <si>
    <t>LOWER BOUND</t>
  </si>
  <si>
    <t>UPPER BOUND</t>
  </si>
  <si>
    <t>PEARSON PRODUCT-MOMENT CORRELATION CO-EFFICIENT</t>
  </si>
  <si>
    <t>RELATIONSHIP</t>
  </si>
  <si>
    <t>CORREL()</t>
  </si>
  <si>
    <t>PEARSON()</t>
  </si>
  <si>
    <t>INTERPRETATION</t>
  </si>
  <si>
    <t>Study_Hours vs Exam_Score</t>
  </si>
  <si>
    <t>Very strong +ve</t>
  </si>
  <si>
    <t>Attendance_% vs Exam_Score</t>
  </si>
  <si>
    <t>Very weak +ve</t>
  </si>
  <si>
    <t>Sleep_Hours vs Exam_Score</t>
  </si>
  <si>
    <t>Weak +ve</t>
  </si>
  <si>
    <t>Screen_Time vs Exam_Score</t>
  </si>
  <si>
    <t>Weak -ve</t>
  </si>
  <si>
    <t>Practice_Test vs Exam_Score</t>
  </si>
  <si>
    <t>SPEARMAN'S RANK CORRELATION CO-EFFICIENT</t>
  </si>
  <si>
    <t>New Column</t>
  </si>
  <si>
    <t>Formula</t>
  </si>
  <si>
    <t>Interpretation</t>
  </si>
  <si>
    <t>Study vs Exam</t>
  </si>
  <si>
    <t>Very Strong +ve</t>
  </si>
  <si>
    <t>Attendance vs Exam</t>
  </si>
  <si>
    <t>Negligible(closer to zero)</t>
  </si>
  <si>
    <t>Sleep vs Exam</t>
  </si>
  <si>
    <t>Screen_Time vs Exam</t>
  </si>
  <si>
    <t>Very Weak -ve</t>
  </si>
  <si>
    <t>Practice_Test vs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</si>
</sst>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5B9B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1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Study Hours vs Exam Score 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176442230435485E-2"/>
                  <c:y val="9.46916010498687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 11'!$B$6:$B$45</c:f>
              <c:numCache>
                <c:formatCode>General</c:formatCode>
                <c:ptCount val="40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9</c:v>
                </c:pt>
                <c:pt idx="4">
                  <c:v>2</c:v>
                </c:pt>
                <c:pt idx="5">
                  <c:v>8</c:v>
                </c:pt>
                <c:pt idx="6">
                  <c:v>1</c:v>
                </c:pt>
                <c:pt idx="7">
                  <c:v>9</c:v>
                </c:pt>
                <c:pt idx="8">
                  <c:v>1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8</c:v>
                </c:pt>
                <c:pt idx="14">
                  <c:v>2</c:v>
                </c:pt>
                <c:pt idx="15">
                  <c:v>10</c:v>
                </c:pt>
                <c:pt idx="16">
                  <c:v>5</c:v>
                </c:pt>
                <c:pt idx="17">
                  <c:v>1</c:v>
                </c:pt>
                <c:pt idx="18">
                  <c:v>10</c:v>
                </c:pt>
                <c:pt idx="19">
                  <c:v>10</c:v>
                </c:pt>
                <c:pt idx="20">
                  <c:v>3</c:v>
                </c:pt>
                <c:pt idx="21">
                  <c:v>4</c:v>
                </c:pt>
                <c:pt idx="22">
                  <c:v>10</c:v>
                </c:pt>
                <c:pt idx="23">
                  <c:v>3</c:v>
                </c:pt>
                <c:pt idx="24">
                  <c:v>2</c:v>
                </c:pt>
                <c:pt idx="25">
                  <c:v>8</c:v>
                </c:pt>
                <c:pt idx="26">
                  <c:v>3</c:v>
                </c:pt>
                <c:pt idx="27">
                  <c:v>10</c:v>
                </c:pt>
                <c:pt idx="28">
                  <c:v>6</c:v>
                </c:pt>
                <c:pt idx="29">
                  <c:v>6</c:v>
                </c:pt>
                <c:pt idx="30">
                  <c:v>8</c:v>
                </c:pt>
                <c:pt idx="31">
                  <c:v>2</c:v>
                </c:pt>
                <c:pt idx="32">
                  <c:v>3</c:v>
                </c:pt>
                <c:pt idx="33">
                  <c:v>9</c:v>
                </c:pt>
                <c:pt idx="34">
                  <c:v>8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6</c:v>
                </c:pt>
              </c:numCache>
            </c:numRef>
          </c:xVal>
          <c:yVal>
            <c:numRef>
              <c:f>'Day 11'!$E$6:$E$45</c:f>
              <c:numCache>
                <c:formatCode>General</c:formatCode>
                <c:ptCount val="40"/>
                <c:pt idx="0">
                  <c:v>78.900000000000006</c:v>
                </c:pt>
                <c:pt idx="1">
                  <c:v>75.599999999999994</c:v>
                </c:pt>
                <c:pt idx="2">
                  <c:v>73.7</c:v>
                </c:pt>
                <c:pt idx="3">
                  <c:v>103</c:v>
                </c:pt>
                <c:pt idx="4">
                  <c:v>68.400000000000006</c:v>
                </c:pt>
                <c:pt idx="5">
                  <c:v>84.6</c:v>
                </c:pt>
                <c:pt idx="6">
                  <c:v>56.8</c:v>
                </c:pt>
                <c:pt idx="7">
                  <c:v>98.2</c:v>
                </c:pt>
                <c:pt idx="8">
                  <c:v>67.900000000000006</c:v>
                </c:pt>
                <c:pt idx="9">
                  <c:v>91.6</c:v>
                </c:pt>
                <c:pt idx="10">
                  <c:v>59.2</c:v>
                </c:pt>
                <c:pt idx="11">
                  <c:v>72</c:v>
                </c:pt>
                <c:pt idx="12">
                  <c:v>105.4</c:v>
                </c:pt>
                <c:pt idx="13">
                  <c:v>93.4</c:v>
                </c:pt>
                <c:pt idx="14">
                  <c:v>65.5</c:v>
                </c:pt>
                <c:pt idx="15">
                  <c:v>104.7</c:v>
                </c:pt>
                <c:pt idx="16">
                  <c:v>95.6</c:v>
                </c:pt>
                <c:pt idx="17">
                  <c:v>65</c:v>
                </c:pt>
                <c:pt idx="18">
                  <c:v>101.7</c:v>
                </c:pt>
                <c:pt idx="19">
                  <c:v>101.4</c:v>
                </c:pt>
                <c:pt idx="20">
                  <c:v>56.8</c:v>
                </c:pt>
                <c:pt idx="21">
                  <c:v>70</c:v>
                </c:pt>
                <c:pt idx="22">
                  <c:v>99.3</c:v>
                </c:pt>
                <c:pt idx="23">
                  <c:v>74.400000000000006</c:v>
                </c:pt>
                <c:pt idx="24">
                  <c:v>76.099999999999994</c:v>
                </c:pt>
                <c:pt idx="25">
                  <c:v>90.3</c:v>
                </c:pt>
                <c:pt idx="26">
                  <c:v>76.8</c:v>
                </c:pt>
                <c:pt idx="27">
                  <c:v>112.1</c:v>
                </c:pt>
                <c:pt idx="28">
                  <c:v>86.9</c:v>
                </c:pt>
                <c:pt idx="29">
                  <c:v>78.2</c:v>
                </c:pt>
                <c:pt idx="30">
                  <c:v>90.8</c:v>
                </c:pt>
                <c:pt idx="31">
                  <c:v>74.2</c:v>
                </c:pt>
                <c:pt idx="32">
                  <c:v>65.7</c:v>
                </c:pt>
                <c:pt idx="33">
                  <c:v>98.7</c:v>
                </c:pt>
                <c:pt idx="34">
                  <c:v>79.3</c:v>
                </c:pt>
                <c:pt idx="35">
                  <c:v>71.7</c:v>
                </c:pt>
                <c:pt idx="36">
                  <c:v>68.400000000000006</c:v>
                </c:pt>
                <c:pt idx="37">
                  <c:v>81.2</c:v>
                </c:pt>
                <c:pt idx="38">
                  <c:v>78.400000000000006</c:v>
                </c:pt>
                <c:pt idx="39">
                  <c:v>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06-4983-8952-A5AC546A8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107679"/>
        <c:axId val="1971108639"/>
      </c:scatterChart>
      <c:valAx>
        <c:axId val="197110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 Hrs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08639"/>
        <c:crosses val="autoZero"/>
        <c:crossBetween val="midCat"/>
      </c:valAx>
      <c:valAx>
        <c:axId val="197110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0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Exam Score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550478065241843"/>
                  <c:y val="6.0335374744823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 11'!$C$6:$C$45</c:f>
              <c:numCache>
                <c:formatCode>General</c:formatCode>
                <c:ptCount val="40"/>
                <c:pt idx="0">
                  <c:v>55</c:v>
                </c:pt>
                <c:pt idx="1">
                  <c:v>57</c:v>
                </c:pt>
                <c:pt idx="2">
                  <c:v>87</c:v>
                </c:pt>
                <c:pt idx="3">
                  <c:v>77</c:v>
                </c:pt>
                <c:pt idx="4">
                  <c:v>93</c:v>
                </c:pt>
                <c:pt idx="5">
                  <c:v>59</c:v>
                </c:pt>
                <c:pt idx="6">
                  <c:v>89</c:v>
                </c:pt>
                <c:pt idx="7">
                  <c:v>83</c:v>
                </c:pt>
                <c:pt idx="8">
                  <c:v>86</c:v>
                </c:pt>
                <c:pt idx="9">
                  <c:v>56</c:v>
                </c:pt>
                <c:pt idx="10">
                  <c:v>63</c:v>
                </c:pt>
                <c:pt idx="11">
                  <c:v>69</c:v>
                </c:pt>
                <c:pt idx="12">
                  <c:v>94</c:v>
                </c:pt>
                <c:pt idx="13">
                  <c:v>84</c:v>
                </c:pt>
                <c:pt idx="14">
                  <c:v>71</c:v>
                </c:pt>
                <c:pt idx="15">
                  <c:v>69</c:v>
                </c:pt>
                <c:pt idx="16">
                  <c:v>92</c:v>
                </c:pt>
                <c:pt idx="17">
                  <c:v>72</c:v>
                </c:pt>
                <c:pt idx="18">
                  <c:v>99</c:v>
                </c:pt>
                <c:pt idx="19">
                  <c:v>60</c:v>
                </c:pt>
                <c:pt idx="20">
                  <c:v>59</c:v>
                </c:pt>
                <c:pt idx="21">
                  <c:v>71</c:v>
                </c:pt>
                <c:pt idx="22">
                  <c:v>73</c:v>
                </c:pt>
                <c:pt idx="23">
                  <c:v>72</c:v>
                </c:pt>
                <c:pt idx="24">
                  <c:v>93</c:v>
                </c:pt>
                <c:pt idx="25">
                  <c:v>83</c:v>
                </c:pt>
                <c:pt idx="26">
                  <c:v>78</c:v>
                </c:pt>
                <c:pt idx="27">
                  <c:v>80</c:v>
                </c:pt>
                <c:pt idx="28">
                  <c:v>73</c:v>
                </c:pt>
                <c:pt idx="29">
                  <c:v>61</c:v>
                </c:pt>
                <c:pt idx="30">
                  <c:v>58</c:v>
                </c:pt>
                <c:pt idx="31">
                  <c:v>85</c:v>
                </c:pt>
                <c:pt idx="32">
                  <c:v>79</c:v>
                </c:pt>
                <c:pt idx="33">
                  <c:v>89</c:v>
                </c:pt>
                <c:pt idx="34">
                  <c:v>59</c:v>
                </c:pt>
                <c:pt idx="35">
                  <c:v>87</c:v>
                </c:pt>
                <c:pt idx="36">
                  <c:v>84</c:v>
                </c:pt>
                <c:pt idx="37">
                  <c:v>82</c:v>
                </c:pt>
                <c:pt idx="38">
                  <c:v>76</c:v>
                </c:pt>
                <c:pt idx="39">
                  <c:v>58</c:v>
                </c:pt>
              </c:numCache>
            </c:numRef>
          </c:xVal>
          <c:yVal>
            <c:numRef>
              <c:f>'Day 11'!$E$6:$E$45</c:f>
              <c:numCache>
                <c:formatCode>General</c:formatCode>
                <c:ptCount val="40"/>
                <c:pt idx="0">
                  <c:v>78.900000000000006</c:v>
                </c:pt>
                <c:pt idx="1">
                  <c:v>75.599999999999994</c:v>
                </c:pt>
                <c:pt idx="2">
                  <c:v>73.7</c:v>
                </c:pt>
                <c:pt idx="3">
                  <c:v>103</c:v>
                </c:pt>
                <c:pt idx="4">
                  <c:v>68.400000000000006</c:v>
                </c:pt>
                <c:pt idx="5">
                  <c:v>84.6</c:v>
                </c:pt>
                <c:pt idx="6">
                  <c:v>56.8</c:v>
                </c:pt>
                <c:pt idx="7">
                  <c:v>98.2</c:v>
                </c:pt>
                <c:pt idx="8">
                  <c:v>67.900000000000006</c:v>
                </c:pt>
                <c:pt idx="9">
                  <c:v>91.6</c:v>
                </c:pt>
                <c:pt idx="10">
                  <c:v>59.2</c:v>
                </c:pt>
                <c:pt idx="11">
                  <c:v>72</c:v>
                </c:pt>
                <c:pt idx="12">
                  <c:v>105.4</c:v>
                </c:pt>
                <c:pt idx="13">
                  <c:v>93.4</c:v>
                </c:pt>
                <c:pt idx="14">
                  <c:v>65.5</c:v>
                </c:pt>
                <c:pt idx="15">
                  <c:v>104.7</c:v>
                </c:pt>
                <c:pt idx="16">
                  <c:v>95.6</c:v>
                </c:pt>
                <c:pt idx="17">
                  <c:v>65</c:v>
                </c:pt>
                <c:pt idx="18">
                  <c:v>101.7</c:v>
                </c:pt>
                <c:pt idx="19">
                  <c:v>101.4</c:v>
                </c:pt>
                <c:pt idx="20">
                  <c:v>56.8</c:v>
                </c:pt>
                <c:pt idx="21">
                  <c:v>70</c:v>
                </c:pt>
                <c:pt idx="22">
                  <c:v>99.3</c:v>
                </c:pt>
                <c:pt idx="23">
                  <c:v>74.400000000000006</c:v>
                </c:pt>
                <c:pt idx="24">
                  <c:v>76.099999999999994</c:v>
                </c:pt>
                <c:pt idx="25">
                  <c:v>90.3</c:v>
                </c:pt>
                <c:pt idx="26">
                  <c:v>76.8</c:v>
                </c:pt>
                <c:pt idx="27">
                  <c:v>112.1</c:v>
                </c:pt>
                <c:pt idx="28">
                  <c:v>86.9</c:v>
                </c:pt>
                <c:pt idx="29">
                  <c:v>78.2</c:v>
                </c:pt>
                <c:pt idx="30">
                  <c:v>90.8</c:v>
                </c:pt>
                <c:pt idx="31">
                  <c:v>74.2</c:v>
                </c:pt>
                <c:pt idx="32">
                  <c:v>65.7</c:v>
                </c:pt>
                <c:pt idx="33">
                  <c:v>98.7</c:v>
                </c:pt>
                <c:pt idx="34">
                  <c:v>79.3</c:v>
                </c:pt>
                <c:pt idx="35">
                  <c:v>71.7</c:v>
                </c:pt>
                <c:pt idx="36">
                  <c:v>68.400000000000006</c:v>
                </c:pt>
                <c:pt idx="37">
                  <c:v>81.2</c:v>
                </c:pt>
                <c:pt idx="38">
                  <c:v>78.400000000000006</c:v>
                </c:pt>
                <c:pt idx="39">
                  <c:v>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57-4A5C-B1FE-C43ABD0EE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117759"/>
        <c:axId val="1971118719"/>
      </c:scatterChart>
      <c:valAx>
        <c:axId val="197111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18719"/>
        <c:crosses val="autoZero"/>
        <c:crossBetween val="midCat"/>
      </c:valAx>
      <c:valAx>
        <c:axId val="197111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Exam Score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1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Sleep Hours vs Exam Score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02515310586177E-2"/>
                  <c:y val="-4.29458296879556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 11'!$D$6:$D$45</c:f>
              <c:numCache>
                <c:formatCode>General</c:formatCode>
                <c:ptCount val="40"/>
                <c:pt idx="0">
                  <c:v>5.4</c:v>
                </c:pt>
                <c:pt idx="1">
                  <c:v>5.7</c:v>
                </c:pt>
                <c:pt idx="2">
                  <c:v>8.4</c:v>
                </c:pt>
                <c:pt idx="3">
                  <c:v>6.6</c:v>
                </c:pt>
                <c:pt idx="4">
                  <c:v>6.8</c:v>
                </c:pt>
                <c:pt idx="5">
                  <c:v>4.8</c:v>
                </c:pt>
                <c:pt idx="6">
                  <c:v>5.2</c:v>
                </c:pt>
                <c:pt idx="7">
                  <c:v>6.2</c:v>
                </c:pt>
                <c:pt idx="8">
                  <c:v>5.6</c:v>
                </c:pt>
                <c:pt idx="9">
                  <c:v>6.4</c:v>
                </c:pt>
                <c:pt idx="10">
                  <c:v>5</c:v>
                </c:pt>
                <c:pt idx="11">
                  <c:v>8.1999999999999993</c:v>
                </c:pt>
                <c:pt idx="12">
                  <c:v>7.7</c:v>
                </c:pt>
                <c:pt idx="13">
                  <c:v>6.4</c:v>
                </c:pt>
                <c:pt idx="14">
                  <c:v>6.2</c:v>
                </c:pt>
                <c:pt idx="15">
                  <c:v>6.8</c:v>
                </c:pt>
                <c:pt idx="16">
                  <c:v>7.6</c:v>
                </c:pt>
                <c:pt idx="17">
                  <c:v>8.1</c:v>
                </c:pt>
                <c:pt idx="18">
                  <c:v>7.1</c:v>
                </c:pt>
                <c:pt idx="19">
                  <c:v>7.3</c:v>
                </c:pt>
                <c:pt idx="20">
                  <c:v>4.8</c:v>
                </c:pt>
                <c:pt idx="21">
                  <c:v>4.8</c:v>
                </c:pt>
                <c:pt idx="22">
                  <c:v>7.7</c:v>
                </c:pt>
                <c:pt idx="23">
                  <c:v>7.9</c:v>
                </c:pt>
                <c:pt idx="24">
                  <c:v>8.4</c:v>
                </c:pt>
                <c:pt idx="25">
                  <c:v>5.9</c:v>
                </c:pt>
                <c:pt idx="26">
                  <c:v>6.2</c:v>
                </c:pt>
                <c:pt idx="27">
                  <c:v>6.6</c:v>
                </c:pt>
                <c:pt idx="28">
                  <c:v>8.1</c:v>
                </c:pt>
                <c:pt idx="29">
                  <c:v>4.9000000000000004</c:v>
                </c:pt>
                <c:pt idx="30">
                  <c:v>7.7</c:v>
                </c:pt>
                <c:pt idx="31">
                  <c:v>8.3000000000000007</c:v>
                </c:pt>
                <c:pt idx="32">
                  <c:v>7.3</c:v>
                </c:pt>
                <c:pt idx="33">
                  <c:v>7.8</c:v>
                </c:pt>
                <c:pt idx="34">
                  <c:v>7</c:v>
                </c:pt>
                <c:pt idx="35">
                  <c:v>5.3</c:v>
                </c:pt>
                <c:pt idx="36">
                  <c:v>6.1</c:v>
                </c:pt>
                <c:pt idx="37">
                  <c:v>7.5</c:v>
                </c:pt>
                <c:pt idx="38">
                  <c:v>5.6</c:v>
                </c:pt>
                <c:pt idx="39">
                  <c:v>8</c:v>
                </c:pt>
              </c:numCache>
            </c:numRef>
          </c:xVal>
          <c:yVal>
            <c:numRef>
              <c:f>'Day 11'!$E$6:$E$45</c:f>
              <c:numCache>
                <c:formatCode>General</c:formatCode>
                <c:ptCount val="40"/>
                <c:pt idx="0">
                  <c:v>78.900000000000006</c:v>
                </c:pt>
                <c:pt idx="1">
                  <c:v>75.599999999999994</c:v>
                </c:pt>
                <c:pt idx="2">
                  <c:v>73.7</c:v>
                </c:pt>
                <c:pt idx="3">
                  <c:v>103</c:v>
                </c:pt>
                <c:pt idx="4">
                  <c:v>68.400000000000006</c:v>
                </c:pt>
                <c:pt idx="5">
                  <c:v>84.6</c:v>
                </c:pt>
                <c:pt idx="6">
                  <c:v>56.8</c:v>
                </c:pt>
                <c:pt idx="7">
                  <c:v>98.2</c:v>
                </c:pt>
                <c:pt idx="8">
                  <c:v>67.900000000000006</c:v>
                </c:pt>
                <c:pt idx="9">
                  <c:v>91.6</c:v>
                </c:pt>
                <c:pt idx="10">
                  <c:v>59.2</c:v>
                </c:pt>
                <c:pt idx="11">
                  <c:v>72</c:v>
                </c:pt>
                <c:pt idx="12">
                  <c:v>105.4</c:v>
                </c:pt>
                <c:pt idx="13">
                  <c:v>93.4</c:v>
                </c:pt>
                <c:pt idx="14">
                  <c:v>65.5</c:v>
                </c:pt>
                <c:pt idx="15">
                  <c:v>104.7</c:v>
                </c:pt>
                <c:pt idx="16">
                  <c:v>95.6</c:v>
                </c:pt>
                <c:pt idx="17">
                  <c:v>65</c:v>
                </c:pt>
                <c:pt idx="18">
                  <c:v>101.7</c:v>
                </c:pt>
                <c:pt idx="19">
                  <c:v>101.4</c:v>
                </c:pt>
                <c:pt idx="20">
                  <c:v>56.8</c:v>
                </c:pt>
                <c:pt idx="21">
                  <c:v>70</c:v>
                </c:pt>
                <c:pt idx="22">
                  <c:v>99.3</c:v>
                </c:pt>
                <c:pt idx="23">
                  <c:v>74.400000000000006</c:v>
                </c:pt>
                <c:pt idx="24">
                  <c:v>76.099999999999994</c:v>
                </c:pt>
                <c:pt idx="25">
                  <c:v>90.3</c:v>
                </c:pt>
                <c:pt idx="26">
                  <c:v>76.8</c:v>
                </c:pt>
                <c:pt idx="27">
                  <c:v>112.1</c:v>
                </c:pt>
                <c:pt idx="28">
                  <c:v>86.9</c:v>
                </c:pt>
                <c:pt idx="29">
                  <c:v>78.2</c:v>
                </c:pt>
                <c:pt idx="30">
                  <c:v>90.8</c:v>
                </c:pt>
                <c:pt idx="31">
                  <c:v>74.2</c:v>
                </c:pt>
                <c:pt idx="32">
                  <c:v>65.7</c:v>
                </c:pt>
                <c:pt idx="33">
                  <c:v>98.7</c:v>
                </c:pt>
                <c:pt idx="34">
                  <c:v>79.3</c:v>
                </c:pt>
                <c:pt idx="35">
                  <c:v>71.7</c:v>
                </c:pt>
                <c:pt idx="36">
                  <c:v>68.400000000000006</c:v>
                </c:pt>
                <c:pt idx="37">
                  <c:v>81.2</c:v>
                </c:pt>
                <c:pt idx="38">
                  <c:v>78.400000000000006</c:v>
                </c:pt>
                <c:pt idx="39">
                  <c:v>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21-4749-896C-8162C7981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148959"/>
        <c:axId val="1971135519"/>
      </c:scatterChart>
      <c:valAx>
        <c:axId val="197114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Sleep Hours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35519"/>
        <c:crosses val="autoZero"/>
        <c:crossBetween val="midCat"/>
      </c:valAx>
      <c:valAx>
        <c:axId val="19711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Exam Score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4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Screen Time vs Exam</a:t>
            </a:r>
            <a:r>
              <a:rPr lang="en-US" baseline="0"/>
              <a:t> Score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904199475065617E-2"/>
                  <c:y val="0.127709609215514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 11'!$F$6:$F$45</c:f>
              <c:numCache>
                <c:formatCode>General</c:formatCode>
                <c:ptCount val="40"/>
                <c:pt idx="0">
                  <c:v>6.2</c:v>
                </c:pt>
                <c:pt idx="1">
                  <c:v>3.5</c:v>
                </c:pt>
                <c:pt idx="2">
                  <c:v>6.7</c:v>
                </c:pt>
                <c:pt idx="3">
                  <c:v>4.0999999999999996</c:v>
                </c:pt>
                <c:pt idx="4">
                  <c:v>3.5</c:v>
                </c:pt>
                <c:pt idx="5">
                  <c:v>4.4000000000000004</c:v>
                </c:pt>
                <c:pt idx="6">
                  <c:v>5.9</c:v>
                </c:pt>
                <c:pt idx="7">
                  <c:v>4</c:v>
                </c:pt>
                <c:pt idx="8">
                  <c:v>1.3</c:v>
                </c:pt>
                <c:pt idx="9">
                  <c:v>2.2999999999999998</c:v>
                </c:pt>
                <c:pt idx="10">
                  <c:v>2.4</c:v>
                </c:pt>
                <c:pt idx="11">
                  <c:v>6.3</c:v>
                </c:pt>
                <c:pt idx="12">
                  <c:v>4.0999999999999996</c:v>
                </c:pt>
                <c:pt idx="13">
                  <c:v>3.5</c:v>
                </c:pt>
                <c:pt idx="14">
                  <c:v>5.8</c:v>
                </c:pt>
                <c:pt idx="15">
                  <c:v>2.1</c:v>
                </c:pt>
                <c:pt idx="16">
                  <c:v>1.4</c:v>
                </c:pt>
                <c:pt idx="17">
                  <c:v>2</c:v>
                </c:pt>
                <c:pt idx="18">
                  <c:v>4.3</c:v>
                </c:pt>
                <c:pt idx="19">
                  <c:v>2.2999999999999998</c:v>
                </c:pt>
                <c:pt idx="20">
                  <c:v>6.5</c:v>
                </c:pt>
                <c:pt idx="21">
                  <c:v>1.6</c:v>
                </c:pt>
                <c:pt idx="22">
                  <c:v>3.2</c:v>
                </c:pt>
                <c:pt idx="23">
                  <c:v>1.2</c:v>
                </c:pt>
                <c:pt idx="24">
                  <c:v>3.1</c:v>
                </c:pt>
                <c:pt idx="25">
                  <c:v>4</c:v>
                </c:pt>
                <c:pt idx="26">
                  <c:v>2.4</c:v>
                </c:pt>
                <c:pt idx="27">
                  <c:v>1.8</c:v>
                </c:pt>
                <c:pt idx="28">
                  <c:v>6.9</c:v>
                </c:pt>
                <c:pt idx="29">
                  <c:v>4.4000000000000004</c:v>
                </c:pt>
                <c:pt idx="30">
                  <c:v>5.8</c:v>
                </c:pt>
                <c:pt idx="31">
                  <c:v>5.5</c:v>
                </c:pt>
                <c:pt idx="32">
                  <c:v>4.4000000000000004</c:v>
                </c:pt>
                <c:pt idx="33">
                  <c:v>2.2000000000000002</c:v>
                </c:pt>
                <c:pt idx="34">
                  <c:v>6.6</c:v>
                </c:pt>
                <c:pt idx="35">
                  <c:v>3.9</c:v>
                </c:pt>
                <c:pt idx="36">
                  <c:v>2.9</c:v>
                </c:pt>
                <c:pt idx="37">
                  <c:v>2.9</c:v>
                </c:pt>
                <c:pt idx="38">
                  <c:v>4.7</c:v>
                </c:pt>
                <c:pt idx="39">
                  <c:v>2.2000000000000002</c:v>
                </c:pt>
              </c:numCache>
            </c:numRef>
          </c:xVal>
          <c:yVal>
            <c:numRef>
              <c:f>'Day 11'!$E$6:$E$45</c:f>
              <c:numCache>
                <c:formatCode>General</c:formatCode>
                <c:ptCount val="40"/>
                <c:pt idx="0">
                  <c:v>78.900000000000006</c:v>
                </c:pt>
                <c:pt idx="1">
                  <c:v>75.599999999999994</c:v>
                </c:pt>
                <c:pt idx="2">
                  <c:v>73.7</c:v>
                </c:pt>
                <c:pt idx="3">
                  <c:v>103</c:v>
                </c:pt>
                <c:pt idx="4">
                  <c:v>68.400000000000006</c:v>
                </c:pt>
                <c:pt idx="5">
                  <c:v>84.6</c:v>
                </c:pt>
                <c:pt idx="6">
                  <c:v>56.8</c:v>
                </c:pt>
                <c:pt idx="7">
                  <c:v>98.2</c:v>
                </c:pt>
                <c:pt idx="8">
                  <c:v>67.900000000000006</c:v>
                </c:pt>
                <c:pt idx="9">
                  <c:v>91.6</c:v>
                </c:pt>
                <c:pt idx="10">
                  <c:v>59.2</c:v>
                </c:pt>
                <c:pt idx="11">
                  <c:v>72</c:v>
                </c:pt>
                <c:pt idx="12">
                  <c:v>105.4</c:v>
                </c:pt>
                <c:pt idx="13">
                  <c:v>93.4</c:v>
                </c:pt>
                <c:pt idx="14">
                  <c:v>65.5</c:v>
                </c:pt>
                <c:pt idx="15">
                  <c:v>104.7</c:v>
                </c:pt>
                <c:pt idx="16">
                  <c:v>95.6</c:v>
                </c:pt>
                <c:pt idx="17">
                  <c:v>65</c:v>
                </c:pt>
                <c:pt idx="18">
                  <c:v>101.7</c:v>
                </c:pt>
                <c:pt idx="19">
                  <c:v>101.4</c:v>
                </c:pt>
                <c:pt idx="20">
                  <c:v>56.8</c:v>
                </c:pt>
                <c:pt idx="21">
                  <c:v>70</c:v>
                </c:pt>
                <c:pt idx="22">
                  <c:v>99.3</c:v>
                </c:pt>
                <c:pt idx="23">
                  <c:v>74.400000000000006</c:v>
                </c:pt>
                <c:pt idx="24">
                  <c:v>76.099999999999994</c:v>
                </c:pt>
                <c:pt idx="25">
                  <c:v>90.3</c:v>
                </c:pt>
                <c:pt idx="26">
                  <c:v>76.8</c:v>
                </c:pt>
                <c:pt idx="27">
                  <c:v>112.1</c:v>
                </c:pt>
                <c:pt idx="28">
                  <c:v>86.9</c:v>
                </c:pt>
                <c:pt idx="29">
                  <c:v>78.2</c:v>
                </c:pt>
                <c:pt idx="30">
                  <c:v>90.8</c:v>
                </c:pt>
                <c:pt idx="31">
                  <c:v>74.2</c:v>
                </c:pt>
                <c:pt idx="32">
                  <c:v>65.7</c:v>
                </c:pt>
                <c:pt idx="33">
                  <c:v>98.7</c:v>
                </c:pt>
                <c:pt idx="34">
                  <c:v>79.3</c:v>
                </c:pt>
                <c:pt idx="35">
                  <c:v>71.7</c:v>
                </c:pt>
                <c:pt idx="36">
                  <c:v>68.400000000000006</c:v>
                </c:pt>
                <c:pt idx="37">
                  <c:v>81.2</c:v>
                </c:pt>
                <c:pt idx="38">
                  <c:v>78.400000000000006</c:v>
                </c:pt>
                <c:pt idx="39">
                  <c:v>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82-40B3-B6D5-9B88FA4AB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140799"/>
        <c:axId val="1971150399"/>
      </c:scatterChart>
      <c:valAx>
        <c:axId val="197114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Screen</a:t>
                </a:r>
                <a:r>
                  <a:rPr lang="en-US" baseline="0"/>
                  <a:t> Time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50399"/>
        <c:crosses val="autoZero"/>
        <c:crossBetween val="midCat"/>
      </c:valAx>
      <c:valAx>
        <c:axId val="197115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Exam Score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4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9263083186030314E-2"/>
                  <c:y val="0.140645231846019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'Day 11'!$E$6:$E$45</c:f>
              <c:numCache>
                <c:formatCode>General</c:formatCode>
                <c:ptCount val="40"/>
                <c:pt idx="0">
                  <c:v>78.900000000000006</c:v>
                </c:pt>
                <c:pt idx="1">
                  <c:v>75.599999999999994</c:v>
                </c:pt>
                <c:pt idx="2">
                  <c:v>73.7</c:v>
                </c:pt>
                <c:pt idx="3">
                  <c:v>103</c:v>
                </c:pt>
                <c:pt idx="4">
                  <c:v>68.400000000000006</c:v>
                </c:pt>
                <c:pt idx="5">
                  <c:v>84.6</c:v>
                </c:pt>
                <c:pt idx="6">
                  <c:v>56.8</c:v>
                </c:pt>
                <c:pt idx="7">
                  <c:v>98.2</c:v>
                </c:pt>
                <c:pt idx="8">
                  <c:v>67.900000000000006</c:v>
                </c:pt>
                <c:pt idx="9">
                  <c:v>91.6</c:v>
                </c:pt>
                <c:pt idx="10">
                  <c:v>59.2</c:v>
                </c:pt>
                <c:pt idx="11">
                  <c:v>72</c:v>
                </c:pt>
                <c:pt idx="12">
                  <c:v>105.4</c:v>
                </c:pt>
                <c:pt idx="13">
                  <c:v>93.4</c:v>
                </c:pt>
                <c:pt idx="14">
                  <c:v>65.5</c:v>
                </c:pt>
                <c:pt idx="15">
                  <c:v>104.7</c:v>
                </c:pt>
                <c:pt idx="16">
                  <c:v>95.6</c:v>
                </c:pt>
                <c:pt idx="17">
                  <c:v>65</c:v>
                </c:pt>
                <c:pt idx="18">
                  <c:v>101.7</c:v>
                </c:pt>
                <c:pt idx="19">
                  <c:v>101.4</c:v>
                </c:pt>
                <c:pt idx="20">
                  <c:v>56.8</c:v>
                </c:pt>
                <c:pt idx="21">
                  <c:v>70</c:v>
                </c:pt>
                <c:pt idx="22">
                  <c:v>99.3</c:v>
                </c:pt>
                <c:pt idx="23">
                  <c:v>74.400000000000006</c:v>
                </c:pt>
                <c:pt idx="24">
                  <c:v>76.099999999999994</c:v>
                </c:pt>
                <c:pt idx="25">
                  <c:v>90.3</c:v>
                </c:pt>
                <c:pt idx="26">
                  <c:v>76.8</c:v>
                </c:pt>
                <c:pt idx="27">
                  <c:v>112.1</c:v>
                </c:pt>
                <c:pt idx="28">
                  <c:v>86.9</c:v>
                </c:pt>
                <c:pt idx="29">
                  <c:v>78.2</c:v>
                </c:pt>
                <c:pt idx="30">
                  <c:v>90.8</c:v>
                </c:pt>
                <c:pt idx="31">
                  <c:v>74.2</c:v>
                </c:pt>
                <c:pt idx="32">
                  <c:v>65.7</c:v>
                </c:pt>
                <c:pt idx="33">
                  <c:v>98.7</c:v>
                </c:pt>
                <c:pt idx="34">
                  <c:v>79.3</c:v>
                </c:pt>
                <c:pt idx="35">
                  <c:v>71.7</c:v>
                </c:pt>
                <c:pt idx="36">
                  <c:v>68.400000000000006</c:v>
                </c:pt>
                <c:pt idx="37">
                  <c:v>81.2</c:v>
                </c:pt>
                <c:pt idx="38">
                  <c:v>78.400000000000006</c:v>
                </c:pt>
                <c:pt idx="39">
                  <c:v>86.5</c:v>
                </c:pt>
              </c:numCache>
            </c:numRef>
          </c:xVal>
          <c:yVal>
            <c:numRef>
              <c:f>'Day 11'!$G$6:$G$45</c:f>
              <c:numCache>
                <c:formatCode>General</c:formatCode>
                <c:ptCount val="40"/>
                <c:pt idx="0">
                  <c:v>69.7</c:v>
                </c:pt>
                <c:pt idx="1">
                  <c:v>68.099999999999994</c:v>
                </c:pt>
                <c:pt idx="2">
                  <c:v>82.1</c:v>
                </c:pt>
                <c:pt idx="3">
                  <c:v>109.7</c:v>
                </c:pt>
                <c:pt idx="4">
                  <c:v>61.6</c:v>
                </c:pt>
                <c:pt idx="5">
                  <c:v>77.099999999999994</c:v>
                </c:pt>
                <c:pt idx="6">
                  <c:v>55.3</c:v>
                </c:pt>
                <c:pt idx="7">
                  <c:v>97.9</c:v>
                </c:pt>
                <c:pt idx="8">
                  <c:v>74.2</c:v>
                </c:pt>
                <c:pt idx="9">
                  <c:v>88.6</c:v>
                </c:pt>
                <c:pt idx="10">
                  <c:v>61.9</c:v>
                </c:pt>
                <c:pt idx="11">
                  <c:v>66.2</c:v>
                </c:pt>
                <c:pt idx="12">
                  <c:v>102.7</c:v>
                </c:pt>
                <c:pt idx="13">
                  <c:v>93.4</c:v>
                </c:pt>
                <c:pt idx="14">
                  <c:v>66.8</c:v>
                </c:pt>
                <c:pt idx="15">
                  <c:v>105</c:v>
                </c:pt>
                <c:pt idx="16">
                  <c:v>99.9</c:v>
                </c:pt>
                <c:pt idx="17">
                  <c:v>57</c:v>
                </c:pt>
                <c:pt idx="18">
                  <c:v>111</c:v>
                </c:pt>
                <c:pt idx="19">
                  <c:v>108.6</c:v>
                </c:pt>
                <c:pt idx="20">
                  <c:v>50.1</c:v>
                </c:pt>
                <c:pt idx="21">
                  <c:v>60.6</c:v>
                </c:pt>
                <c:pt idx="22">
                  <c:v>90.4</c:v>
                </c:pt>
                <c:pt idx="23">
                  <c:v>82.8</c:v>
                </c:pt>
                <c:pt idx="24">
                  <c:v>67.2</c:v>
                </c:pt>
                <c:pt idx="25">
                  <c:v>86.6</c:v>
                </c:pt>
                <c:pt idx="26">
                  <c:v>85.7</c:v>
                </c:pt>
                <c:pt idx="27">
                  <c:v>115.5</c:v>
                </c:pt>
                <c:pt idx="28">
                  <c:v>77.8</c:v>
                </c:pt>
                <c:pt idx="29">
                  <c:v>70.5</c:v>
                </c:pt>
                <c:pt idx="30">
                  <c:v>84.8</c:v>
                </c:pt>
                <c:pt idx="31">
                  <c:v>82</c:v>
                </c:pt>
                <c:pt idx="32">
                  <c:v>57.3</c:v>
                </c:pt>
                <c:pt idx="33">
                  <c:v>96.3</c:v>
                </c:pt>
                <c:pt idx="34">
                  <c:v>72.900000000000006</c:v>
                </c:pt>
                <c:pt idx="35">
                  <c:v>81.599999999999994</c:v>
                </c:pt>
                <c:pt idx="36">
                  <c:v>78.400000000000006</c:v>
                </c:pt>
                <c:pt idx="37">
                  <c:v>75.8</c:v>
                </c:pt>
                <c:pt idx="38">
                  <c:v>85.6</c:v>
                </c:pt>
                <c:pt idx="39">
                  <c:v>91.1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39B-A181-61E4F44BE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137919"/>
        <c:axId val="1971152319"/>
      </c:scatterChart>
      <c:valAx>
        <c:axId val="197113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52319"/>
        <c:crosses val="autoZero"/>
        <c:crossBetween val="midCat"/>
      </c:valAx>
      <c:valAx>
        <c:axId val="197115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7113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102870</xdr:colOff>
      <xdr:row>4</xdr:row>
      <xdr:rowOff>7620</xdr:rowOff>
    </xdr:from>
    <xdr:to>
      <xdr:col>17</xdr:col>
      <xdr:colOff>697230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8A674-CE5F-4C94-8B4D-4A3E9DAAB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110490</xdr:colOff>
      <xdr:row>20</xdr:row>
      <xdr:rowOff>0</xdr:rowOff>
    </xdr:from>
    <xdr:to>
      <xdr:col>17</xdr:col>
      <xdr:colOff>704850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9F0E67-CE5A-40C1-B093-A02E8E54B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773430</xdr:colOff>
      <xdr:row>4</xdr:row>
      <xdr:rowOff>7620</xdr:rowOff>
    </xdr:from>
    <xdr:to>
      <xdr:col>22</xdr:col>
      <xdr:colOff>232410</xdr:colOff>
      <xdr:row>19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5F8056-1B3D-4865-A902-DCACCFD69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773430</xdr:colOff>
      <xdr:row>19</xdr:row>
      <xdr:rowOff>167640</xdr:rowOff>
    </xdr:from>
    <xdr:to>
      <xdr:col>22</xdr:col>
      <xdr:colOff>232410</xdr:colOff>
      <xdr:row>35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B53BCA-18F9-41D9-B501-F3399C240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102870</xdr:colOff>
      <xdr:row>36</xdr:row>
      <xdr:rowOff>0</xdr:rowOff>
    </xdr:from>
    <xdr:to>
      <xdr:col>17</xdr:col>
      <xdr:colOff>697230</xdr:colOff>
      <xdr:row>51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BDF820-8FC5-4E9A-8BC5-AB8993C1B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advanced_statistics_days_11_25.xlsx" TargetMode="External"/><Relationship Id="rId1" Type="http://schemas.openxmlformats.org/officeDocument/2006/relationships/externalLinkPath" Target="file:///C:\Users\david\Downloads\advanced_statistics_days_11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Guide &amp; Formulas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  <sheetName val="Day 22"/>
      <sheetName val="Day 23"/>
      <sheetName val="Day 24"/>
      <sheetName val="Day 25"/>
    </sheetNames>
    <sheetDataSet>
      <sheetData sheetId="0"/>
      <sheetData sheetId="1"/>
      <sheetData sheetId="2">
        <row r="6">
          <cell r="B6">
            <v>7</v>
          </cell>
          <cell r="C6">
            <v>55</v>
          </cell>
          <cell r="D6">
            <v>5.4</v>
          </cell>
          <cell r="E6">
            <v>78.900000000000006</v>
          </cell>
          <cell r="F6">
            <v>6.2</v>
          </cell>
          <cell r="G6">
            <v>69.7</v>
          </cell>
        </row>
        <row r="7">
          <cell r="B7">
            <v>5</v>
          </cell>
          <cell r="C7">
            <v>57</v>
          </cell>
          <cell r="D7">
            <v>5.7</v>
          </cell>
          <cell r="E7">
            <v>75.599999999999994</v>
          </cell>
          <cell r="F7">
            <v>3.5</v>
          </cell>
          <cell r="G7">
            <v>68.099999999999994</v>
          </cell>
        </row>
        <row r="8">
          <cell r="B8">
            <v>4</v>
          </cell>
          <cell r="C8">
            <v>87</v>
          </cell>
          <cell r="D8">
            <v>8.4</v>
          </cell>
          <cell r="E8">
            <v>73.7</v>
          </cell>
          <cell r="F8">
            <v>6.7</v>
          </cell>
          <cell r="G8">
            <v>82.1</v>
          </cell>
        </row>
        <row r="9">
          <cell r="B9">
            <v>9</v>
          </cell>
          <cell r="C9">
            <v>77</v>
          </cell>
          <cell r="D9">
            <v>6.6</v>
          </cell>
          <cell r="E9">
            <v>103</v>
          </cell>
          <cell r="F9">
            <v>4.0999999999999996</v>
          </cell>
          <cell r="G9">
            <v>109.7</v>
          </cell>
        </row>
        <row r="10">
          <cell r="B10">
            <v>2</v>
          </cell>
          <cell r="C10">
            <v>93</v>
          </cell>
          <cell r="D10">
            <v>6.8</v>
          </cell>
          <cell r="E10">
            <v>68.400000000000006</v>
          </cell>
          <cell r="F10">
            <v>3.5</v>
          </cell>
          <cell r="G10">
            <v>61.6</v>
          </cell>
        </row>
        <row r="11">
          <cell r="B11">
            <v>8</v>
          </cell>
          <cell r="C11">
            <v>59</v>
          </cell>
          <cell r="D11">
            <v>4.8</v>
          </cell>
          <cell r="E11">
            <v>84.6</v>
          </cell>
          <cell r="F11">
            <v>4.4000000000000004</v>
          </cell>
          <cell r="G11">
            <v>77.099999999999994</v>
          </cell>
        </row>
        <row r="12">
          <cell r="B12">
            <v>1</v>
          </cell>
          <cell r="C12">
            <v>89</v>
          </cell>
          <cell r="D12">
            <v>5.2</v>
          </cell>
          <cell r="E12">
            <v>56.8</v>
          </cell>
          <cell r="F12">
            <v>5.9</v>
          </cell>
          <cell r="G12">
            <v>55.3</v>
          </cell>
        </row>
        <row r="13">
          <cell r="B13">
            <v>9</v>
          </cell>
          <cell r="C13">
            <v>83</v>
          </cell>
          <cell r="D13">
            <v>6.2</v>
          </cell>
          <cell r="E13">
            <v>98.2</v>
          </cell>
          <cell r="F13">
            <v>4</v>
          </cell>
          <cell r="G13">
            <v>97.9</v>
          </cell>
        </row>
        <row r="14">
          <cell r="B14">
            <v>1</v>
          </cell>
          <cell r="C14">
            <v>86</v>
          </cell>
          <cell r="D14">
            <v>5.6</v>
          </cell>
          <cell r="E14">
            <v>67.900000000000006</v>
          </cell>
          <cell r="F14">
            <v>1.3</v>
          </cell>
          <cell r="G14">
            <v>74.2</v>
          </cell>
        </row>
        <row r="15">
          <cell r="B15">
            <v>8</v>
          </cell>
          <cell r="C15">
            <v>56</v>
          </cell>
          <cell r="D15">
            <v>6.4</v>
          </cell>
          <cell r="E15">
            <v>91.6</v>
          </cell>
          <cell r="F15">
            <v>2.2999999999999998</v>
          </cell>
          <cell r="G15">
            <v>88.6</v>
          </cell>
        </row>
        <row r="16">
          <cell r="B16">
            <v>2</v>
          </cell>
          <cell r="C16">
            <v>63</v>
          </cell>
          <cell r="D16">
            <v>5</v>
          </cell>
          <cell r="E16">
            <v>59.2</v>
          </cell>
          <cell r="F16">
            <v>2.4</v>
          </cell>
          <cell r="G16">
            <v>61.9</v>
          </cell>
        </row>
        <row r="17">
          <cell r="B17">
            <v>3</v>
          </cell>
          <cell r="C17">
            <v>69</v>
          </cell>
          <cell r="D17">
            <v>8.1999999999999993</v>
          </cell>
          <cell r="E17">
            <v>72</v>
          </cell>
          <cell r="F17">
            <v>6.3</v>
          </cell>
          <cell r="G17">
            <v>66.2</v>
          </cell>
        </row>
        <row r="18">
          <cell r="B18">
            <v>10</v>
          </cell>
          <cell r="C18">
            <v>94</v>
          </cell>
          <cell r="D18">
            <v>7.7</v>
          </cell>
          <cell r="E18">
            <v>105.4</v>
          </cell>
          <cell r="F18">
            <v>4.0999999999999996</v>
          </cell>
          <cell r="G18">
            <v>102.7</v>
          </cell>
        </row>
        <row r="19">
          <cell r="B19">
            <v>8</v>
          </cell>
          <cell r="C19">
            <v>84</v>
          </cell>
          <cell r="D19">
            <v>6.4</v>
          </cell>
          <cell r="E19">
            <v>93.4</v>
          </cell>
          <cell r="F19">
            <v>3.5</v>
          </cell>
          <cell r="G19">
            <v>93.4</v>
          </cell>
        </row>
        <row r="20">
          <cell r="B20">
            <v>2</v>
          </cell>
          <cell r="C20">
            <v>71</v>
          </cell>
          <cell r="D20">
            <v>6.2</v>
          </cell>
          <cell r="E20">
            <v>65.5</v>
          </cell>
          <cell r="F20">
            <v>5.8</v>
          </cell>
          <cell r="G20">
            <v>66.8</v>
          </cell>
        </row>
        <row r="21">
          <cell r="B21">
            <v>10</v>
          </cell>
          <cell r="C21">
            <v>69</v>
          </cell>
          <cell r="D21">
            <v>6.8</v>
          </cell>
          <cell r="E21">
            <v>104.7</v>
          </cell>
          <cell r="F21">
            <v>2.1</v>
          </cell>
          <cell r="G21">
            <v>105</v>
          </cell>
        </row>
        <row r="22">
          <cell r="B22">
            <v>5</v>
          </cell>
          <cell r="C22">
            <v>92</v>
          </cell>
          <cell r="D22">
            <v>7.6</v>
          </cell>
          <cell r="E22">
            <v>95.6</v>
          </cell>
          <cell r="F22">
            <v>1.4</v>
          </cell>
          <cell r="G22">
            <v>99.9</v>
          </cell>
        </row>
        <row r="23">
          <cell r="B23">
            <v>1</v>
          </cell>
          <cell r="C23">
            <v>72</v>
          </cell>
          <cell r="D23">
            <v>8.1</v>
          </cell>
          <cell r="E23">
            <v>65</v>
          </cell>
          <cell r="F23">
            <v>2</v>
          </cell>
          <cell r="G23">
            <v>57</v>
          </cell>
        </row>
        <row r="24">
          <cell r="B24">
            <v>10</v>
          </cell>
          <cell r="C24">
            <v>99</v>
          </cell>
          <cell r="D24">
            <v>7.1</v>
          </cell>
          <cell r="E24">
            <v>101.7</v>
          </cell>
          <cell r="F24">
            <v>4.3</v>
          </cell>
          <cell r="G24">
            <v>111</v>
          </cell>
        </row>
        <row r="25">
          <cell r="B25">
            <v>10</v>
          </cell>
          <cell r="C25">
            <v>60</v>
          </cell>
          <cell r="D25">
            <v>7.3</v>
          </cell>
          <cell r="E25">
            <v>101.4</v>
          </cell>
          <cell r="F25">
            <v>2.2999999999999998</v>
          </cell>
          <cell r="G25">
            <v>108.6</v>
          </cell>
        </row>
        <row r="26">
          <cell r="B26">
            <v>3</v>
          </cell>
          <cell r="C26">
            <v>59</v>
          </cell>
          <cell r="D26">
            <v>4.8</v>
          </cell>
          <cell r="E26">
            <v>56.8</v>
          </cell>
          <cell r="F26">
            <v>6.5</v>
          </cell>
          <cell r="G26">
            <v>50.1</v>
          </cell>
        </row>
        <row r="27">
          <cell r="B27">
            <v>4</v>
          </cell>
          <cell r="C27">
            <v>71</v>
          </cell>
          <cell r="D27">
            <v>4.8</v>
          </cell>
          <cell r="E27">
            <v>70</v>
          </cell>
          <cell r="F27">
            <v>1.6</v>
          </cell>
          <cell r="G27">
            <v>60.6</v>
          </cell>
        </row>
        <row r="28">
          <cell r="B28">
            <v>10</v>
          </cell>
          <cell r="C28">
            <v>73</v>
          </cell>
          <cell r="D28">
            <v>7.7</v>
          </cell>
          <cell r="E28">
            <v>99.3</v>
          </cell>
          <cell r="F28">
            <v>3.2</v>
          </cell>
          <cell r="G28">
            <v>90.4</v>
          </cell>
        </row>
        <row r="29">
          <cell r="B29">
            <v>3</v>
          </cell>
          <cell r="C29">
            <v>72</v>
          </cell>
          <cell r="D29">
            <v>7.9</v>
          </cell>
          <cell r="E29">
            <v>74.400000000000006</v>
          </cell>
          <cell r="F29">
            <v>1.2</v>
          </cell>
          <cell r="G29">
            <v>82.8</v>
          </cell>
        </row>
        <row r="30">
          <cell r="B30">
            <v>2</v>
          </cell>
          <cell r="C30">
            <v>93</v>
          </cell>
          <cell r="D30">
            <v>8.4</v>
          </cell>
          <cell r="E30">
            <v>76.099999999999994</v>
          </cell>
          <cell r="F30">
            <v>3.1</v>
          </cell>
          <cell r="G30">
            <v>67.2</v>
          </cell>
        </row>
        <row r="31">
          <cell r="B31">
            <v>8</v>
          </cell>
          <cell r="C31">
            <v>83</v>
          </cell>
          <cell r="D31">
            <v>5.9</v>
          </cell>
          <cell r="E31">
            <v>90.3</v>
          </cell>
          <cell r="F31">
            <v>4</v>
          </cell>
          <cell r="G31">
            <v>86.6</v>
          </cell>
        </row>
        <row r="32">
          <cell r="B32">
            <v>3</v>
          </cell>
          <cell r="C32">
            <v>78</v>
          </cell>
          <cell r="D32">
            <v>6.2</v>
          </cell>
          <cell r="E32">
            <v>76.8</v>
          </cell>
          <cell r="F32">
            <v>2.4</v>
          </cell>
          <cell r="G32">
            <v>85.7</v>
          </cell>
        </row>
        <row r="33">
          <cell r="B33">
            <v>10</v>
          </cell>
          <cell r="C33">
            <v>80</v>
          </cell>
          <cell r="D33">
            <v>6.6</v>
          </cell>
          <cell r="E33">
            <v>112.1</v>
          </cell>
          <cell r="F33">
            <v>1.8</v>
          </cell>
          <cell r="G33">
            <v>115.5</v>
          </cell>
        </row>
        <row r="34">
          <cell r="B34">
            <v>6</v>
          </cell>
          <cell r="C34">
            <v>73</v>
          </cell>
          <cell r="D34">
            <v>8.1</v>
          </cell>
          <cell r="E34">
            <v>86.9</v>
          </cell>
          <cell r="F34">
            <v>6.9</v>
          </cell>
          <cell r="G34">
            <v>77.8</v>
          </cell>
        </row>
        <row r="35">
          <cell r="B35">
            <v>6</v>
          </cell>
          <cell r="C35">
            <v>61</v>
          </cell>
          <cell r="D35">
            <v>4.9000000000000004</v>
          </cell>
          <cell r="E35">
            <v>78.2</v>
          </cell>
          <cell r="F35">
            <v>4.4000000000000004</v>
          </cell>
          <cell r="G35">
            <v>70.5</v>
          </cell>
        </row>
        <row r="36">
          <cell r="B36">
            <v>8</v>
          </cell>
          <cell r="C36">
            <v>58</v>
          </cell>
          <cell r="D36">
            <v>7.7</v>
          </cell>
          <cell r="E36">
            <v>90.8</v>
          </cell>
          <cell r="F36">
            <v>5.8</v>
          </cell>
          <cell r="G36">
            <v>84.8</v>
          </cell>
        </row>
        <row r="37">
          <cell r="B37">
            <v>2</v>
          </cell>
          <cell r="C37">
            <v>85</v>
          </cell>
          <cell r="D37">
            <v>8.3000000000000007</v>
          </cell>
          <cell r="E37">
            <v>74.2</v>
          </cell>
          <cell r="F37">
            <v>5.5</v>
          </cell>
          <cell r="G37">
            <v>82</v>
          </cell>
        </row>
        <row r="38">
          <cell r="B38">
            <v>3</v>
          </cell>
          <cell r="C38">
            <v>79</v>
          </cell>
          <cell r="D38">
            <v>7.3</v>
          </cell>
          <cell r="E38">
            <v>65.7</v>
          </cell>
          <cell r="F38">
            <v>4.4000000000000004</v>
          </cell>
          <cell r="G38">
            <v>57.3</v>
          </cell>
        </row>
        <row r="39">
          <cell r="B39">
            <v>9</v>
          </cell>
          <cell r="C39">
            <v>89</v>
          </cell>
          <cell r="D39">
            <v>7.8</v>
          </cell>
          <cell r="E39">
            <v>98.7</v>
          </cell>
          <cell r="F39">
            <v>2.2000000000000002</v>
          </cell>
          <cell r="G39">
            <v>96.3</v>
          </cell>
        </row>
        <row r="40">
          <cell r="B40">
            <v>8</v>
          </cell>
          <cell r="C40">
            <v>59</v>
          </cell>
          <cell r="D40">
            <v>7</v>
          </cell>
          <cell r="E40">
            <v>79.3</v>
          </cell>
          <cell r="F40">
            <v>6.6</v>
          </cell>
          <cell r="G40">
            <v>72.900000000000006</v>
          </cell>
        </row>
        <row r="41">
          <cell r="B41">
            <v>3</v>
          </cell>
          <cell r="C41">
            <v>87</v>
          </cell>
          <cell r="D41">
            <v>5.3</v>
          </cell>
          <cell r="E41">
            <v>71.7</v>
          </cell>
          <cell r="F41">
            <v>3.9</v>
          </cell>
          <cell r="G41">
            <v>81.599999999999994</v>
          </cell>
        </row>
        <row r="42">
          <cell r="B42">
            <v>2</v>
          </cell>
          <cell r="C42">
            <v>84</v>
          </cell>
          <cell r="D42">
            <v>6.1</v>
          </cell>
          <cell r="E42">
            <v>68.400000000000006</v>
          </cell>
          <cell r="F42">
            <v>2.9</v>
          </cell>
          <cell r="G42">
            <v>78.400000000000006</v>
          </cell>
        </row>
        <row r="43">
          <cell r="B43">
            <v>3</v>
          </cell>
          <cell r="C43">
            <v>82</v>
          </cell>
          <cell r="D43">
            <v>7.5</v>
          </cell>
          <cell r="E43">
            <v>81.2</v>
          </cell>
          <cell r="F43">
            <v>2.9</v>
          </cell>
          <cell r="G43">
            <v>75.8</v>
          </cell>
        </row>
        <row r="44">
          <cell r="B44">
            <v>4</v>
          </cell>
          <cell r="C44">
            <v>76</v>
          </cell>
          <cell r="D44">
            <v>5.6</v>
          </cell>
          <cell r="E44">
            <v>78.400000000000006</v>
          </cell>
          <cell r="F44">
            <v>4.7</v>
          </cell>
          <cell r="G44">
            <v>85.6</v>
          </cell>
        </row>
        <row r="45">
          <cell r="B45">
            <v>6</v>
          </cell>
          <cell r="C45">
            <v>58</v>
          </cell>
          <cell r="D45">
            <v>8</v>
          </cell>
          <cell r="E45">
            <v>86.5</v>
          </cell>
          <cell r="F45">
            <v>2.2000000000000002</v>
          </cell>
          <cell r="G45">
            <v>91.1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8AEA1-C518-4BA2-A3E5-D83541650434}" name="Table2" displayName="Table2" ref="A5:M45" totalsRowShown="0" headerRowDxfId="14" dataDxfId="13">
  <autoFilter ref="A5:M45" xr:uid="{F34E3341-4512-4B4F-9807-833DF3EB9769}"/>
  <tableColumns count="13">
    <tableColumn id="1" xr3:uid="{EDCBF990-F058-42E4-9C1E-8E047204D6E0}" name="Student_ID" dataDxfId="12"/>
    <tableColumn id="2" xr3:uid="{76F61BF7-4F60-4F4E-8568-97212111BB6A}" name="Study_Hours" dataDxfId="11"/>
    <tableColumn id="3" xr3:uid="{945677F8-044C-4621-B00E-1B319727DD7F}" name="Attendance_%" dataDxfId="10"/>
    <tableColumn id="4" xr3:uid="{D821C126-70C7-4E7F-9C5D-5FCE2C10E640}" name="Sleep_Hours" dataDxfId="9"/>
    <tableColumn id="5" xr3:uid="{A1C9E8A8-78FE-4C95-B675-F1E6652F2149}" name="Exam_Score" dataDxfId="8"/>
    <tableColumn id="6" xr3:uid="{E0105D4D-4ACF-4B0F-9B02-C99E6A2E2FC9}" name="Screen_Time_Hours" dataDxfId="7"/>
    <tableColumn id="7" xr3:uid="{7B5F51E2-38E9-4F5A-ADC9-032B6A2A489C}" name="Practice_Test_Score" dataDxfId="6"/>
    <tableColumn id="8" xr3:uid="{6BDA652E-0ADB-483F-9AF2-75FC83EE5D27}" name="Study_Hours_Rank" dataDxfId="5">
      <calculatedColumnFormula>_xlfn.RANK.AVG(B6,$B$6:$B$45,1)</calculatedColumnFormula>
    </tableColumn>
    <tableColumn id="9" xr3:uid="{DBFE3E51-D70E-45FA-85E3-76C7460360E3}" name="Attendance_Rank" dataDxfId="4">
      <calculatedColumnFormula>_xlfn.RANK.AVG(C6,$C$6:$C$45,1)</calculatedColumnFormula>
    </tableColumn>
    <tableColumn id="10" xr3:uid="{DD5B8EE0-B0AD-4BAC-9381-03E15BAD7453}" name="Sleep_Rank" dataDxfId="3">
      <calculatedColumnFormula>_xlfn.RANK.AVG(D6,$D$6:$D$45,1)</calculatedColumnFormula>
    </tableColumn>
    <tableColumn id="11" xr3:uid="{32A26AB6-D6B9-43F9-8C3B-8C300DE83DD8}" name="Exam_Score_Rank" dataDxfId="2">
      <calculatedColumnFormula>_xlfn.RANK.AVG(E6,$E$6:$E$45,1)</calculatedColumnFormula>
    </tableColumn>
    <tableColumn id="12" xr3:uid="{64DA7E8F-BFE9-4C65-8FBB-8DC08E5AACB1}" name="Screen_Time_Rank" dataDxfId="1">
      <calculatedColumnFormula>_xlfn.RANK.AVG(F6,$F$6:$F$45,1)</calculatedColumnFormula>
    </tableColumn>
    <tableColumn id="13" xr3:uid="{62A5844B-96B0-4AD6-B62F-C637312E4B09}" name="Practice_Test_Rank" dataDxfId="0">
      <calculatedColumnFormula>_xlfn.RANK.AVG(G6,$G$6:$G$45,1)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67BB-AEBD-4452-923F-24A565772383}">
  <dimension ref="A1:T82"/>
  <sheetViews>
    <sheetView tabSelected="1" topLeftCell="L55" workbookViewId="0">
      <selection activeCell="T41" sqref="T41"/>
    </sheetView>
  </sheetViews>
  <sheetFormatPr defaultRowHeight="13.8"/>
  <cols>
    <col min="1" max="1" width="18" customWidth="1"/>
    <col min="2" max="5" width="20" customWidth="1"/>
    <col min="6" max="6" width="22.8984375" bestFit="1" customWidth="1"/>
    <col min="7" max="7" width="23.09765625" bestFit="1" customWidth="1"/>
    <col min="8" max="13" width="23.09765625" customWidth="1"/>
    <col min="14" max="14" width="25.796875" bestFit="1" customWidth="1"/>
    <col min="15" max="15" width="13.59765625" bestFit="1" customWidth="1"/>
    <col min="16" max="16" width="14.3984375" bestFit="1" customWidth="1"/>
    <col min="17" max="17" width="16.796875" bestFit="1" customWidth="1"/>
    <col min="18" max="18" width="16.69921875" bestFit="1" customWidth="1"/>
    <col min="19" max="19" width="14.8984375" bestFit="1" customWidth="1"/>
    <col min="20" max="20" width="13.59765625" bestFit="1" customWidth="1"/>
    <col min="21" max="21" width="13.09765625" bestFit="1" customWidth="1"/>
  </cols>
  <sheetData>
    <row r="1" spans="1:13" ht="17.39999999999999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69">
      <c r="A2" s="3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96.6">
      <c r="A3" s="3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5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  <c r="M5" s="7" t="s">
        <v>17</v>
      </c>
    </row>
    <row r="6" spans="1:13">
      <c r="A6" s="4" t="s">
        <v>18</v>
      </c>
      <c r="B6" s="4">
        <v>7</v>
      </c>
      <c r="C6" s="4">
        <v>55</v>
      </c>
      <c r="D6" s="4">
        <v>5.4</v>
      </c>
      <c r="E6" s="4">
        <v>78.900000000000006</v>
      </c>
      <c r="F6" s="4">
        <v>6.2</v>
      </c>
      <c r="G6" s="4">
        <v>69.7</v>
      </c>
      <c r="H6" s="4">
        <f t="shared" ref="H6:H45" si="0">_xlfn.RANK.AVG(B6,$B$6:$B$45,1)</f>
        <v>25</v>
      </c>
      <c r="I6" s="4">
        <f t="shared" ref="I6:I45" si="1">_xlfn.RANK.AVG(C6,$C$6:$C$45,1)</f>
        <v>1</v>
      </c>
      <c r="J6" s="4">
        <f t="shared" ref="J6:J45" si="2">_xlfn.RANK.AVG(D6,$D$6:$D$45,1)</f>
        <v>8</v>
      </c>
      <c r="K6" s="4">
        <f t="shared" ref="K6:K45" si="3">_xlfn.RANK.AVG(E6,$E$6:$E$45,1)</f>
        <v>21</v>
      </c>
      <c r="L6" s="4">
        <f t="shared" ref="L6:L45" si="4">_xlfn.RANK.AVG(F6,$F$6:$F$45,1)</f>
        <v>35</v>
      </c>
      <c r="M6" s="4">
        <f t="shared" ref="M6:M45" si="5">_xlfn.RANK.AVG(G6,$G$6:$G$45,1)</f>
        <v>12</v>
      </c>
    </row>
    <row r="7" spans="1:13">
      <c r="A7" s="4" t="s">
        <v>19</v>
      </c>
      <c r="B7" s="4">
        <v>5</v>
      </c>
      <c r="C7" s="4">
        <v>57</v>
      </c>
      <c r="D7" s="4">
        <v>5.7</v>
      </c>
      <c r="E7" s="4">
        <v>75.599999999999994</v>
      </c>
      <c r="F7" s="4">
        <v>3.5</v>
      </c>
      <c r="G7" s="4">
        <v>68.099999999999994</v>
      </c>
      <c r="H7" s="4">
        <f t="shared" si="0"/>
        <v>20.5</v>
      </c>
      <c r="I7" s="4">
        <f t="shared" si="1"/>
        <v>3</v>
      </c>
      <c r="J7" s="4">
        <f t="shared" si="2"/>
        <v>11</v>
      </c>
      <c r="K7" s="4">
        <f t="shared" si="3"/>
        <v>16</v>
      </c>
      <c r="L7" s="4">
        <f t="shared" si="4"/>
        <v>19</v>
      </c>
      <c r="M7" s="4">
        <f t="shared" si="5"/>
        <v>11</v>
      </c>
    </row>
    <row r="8" spans="1:13">
      <c r="A8" s="4" t="s">
        <v>20</v>
      </c>
      <c r="B8" s="4">
        <v>4</v>
      </c>
      <c r="C8" s="4">
        <v>87</v>
      </c>
      <c r="D8" s="4">
        <v>8.4</v>
      </c>
      <c r="E8" s="4">
        <v>73.7</v>
      </c>
      <c r="F8" s="4">
        <v>6.7</v>
      </c>
      <c r="G8" s="4">
        <v>82.1</v>
      </c>
      <c r="H8" s="4">
        <f t="shared" si="0"/>
        <v>18</v>
      </c>
      <c r="I8" s="4">
        <f t="shared" si="1"/>
        <v>32.5</v>
      </c>
      <c r="J8" s="4">
        <f t="shared" si="2"/>
        <v>39.5</v>
      </c>
      <c r="K8" s="4">
        <f t="shared" si="3"/>
        <v>13</v>
      </c>
      <c r="L8" s="4">
        <f t="shared" si="4"/>
        <v>39</v>
      </c>
      <c r="M8" s="4">
        <f t="shared" si="5"/>
        <v>22</v>
      </c>
    </row>
    <row r="9" spans="1:13">
      <c r="A9" s="4" t="s">
        <v>21</v>
      </c>
      <c r="B9" s="4">
        <v>9</v>
      </c>
      <c r="C9" s="4">
        <v>77</v>
      </c>
      <c r="D9" s="4">
        <v>6.6</v>
      </c>
      <c r="E9" s="4">
        <v>103</v>
      </c>
      <c r="F9" s="4">
        <v>4.0999999999999996</v>
      </c>
      <c r="G9" s="4">
        <v>109.7</v>
      </c>
      <c r="H9" s="4">
        <f t="shared" si="0"/>
        <v>33</v>
      </c>
      <c r="I9" s="4">
        <f t="shared" si="1"/>
        <v>21</v>
      </c>
      <c r="J9" s="4">
        <f t="shared" si="2"/>
        <v>19.5</v>
      </c>
      <c r="K9" s="4">
        <f t="shared" si="3"/>
        <v>37</v>
      </c>
      <c r="L9" s="4">
        <f t="shared" si="4"/>
        <v>24.5</v>
      </c>
      <c r="M9" s="4">
        <f t="shared" si="5"/>
        <v>38</v>
      </c>
    </row>
    <row r="10" spans="1:13">
      <c r="A10" s="4" t="s">
        <v>22</v>
      </c>
      <c r="B10" s="4">
        <v>2</v>
      </c>
      <c r="C10" s="4">
        <v>93</v>
      </c>
      <c r="D10" s="4">
        <v>6.8</v>
      </c>
      <c r="E10" s="4">
        <v>68.400000000000006</v>
      </c>
      <c r="F10" s="4">
        <v>3.5</v>
      </c>
      <c r="G10" s="4">
        <v>61.6</v>
      </c>
      <c r="H10" s="4">
        <f t="shared" si="0"/>
        <v>6.5</v>
      </c>
      <c r="I10" s="4">
        <f t="shared" si="1"/>
        <v>37.5</v>
      </c>
      <c r="J10" s="4">
        <f t="shared" si="2"/>
        <v>21.5</v>
      </c>
      <c r="K10" s="4">
        <f t="shared" si="3"/>
        <v>8.5</v>
      </c>
      <c r="L10" s="4">
        <f t="shared" si="4"/>
        <v>19</v>
      </c>
      <c r="M10" s="4">
        <f t="shared" si="5"/>
        <v>6</v>
      </c>
    </row>
    <row r="11" spans="1:13">
      <c r="A11" s="4" t="s">
        <v>23</v>
      </c>
      <c r="B11" s="4">
        <v>8</v>
      </c>
      <c r="C11" s="4">
        <v>59</v>
      </c>
      <c r="D11" s="4">
        <v>4.8</v>
      </c>
      <c r="E11" s="4">
        <v>84.6</v>
      </c>
      <c r="F11" s="4">
        <v>4.4000000000000004</v>
      </c>
      <c r="G11" s="4">
        <v>77.099999999999994</v>
      </c>
      <c r="H11" s="4">
        <f t="shared" si="0"/>
        <v>28.5</v>
      </c>
      <c r="I11" s="4">
        <f t="shared" si="1"/>
        <v>7</v>
      </c>
      <c r="J11" s="4">
        <f t="shared" si="2"/>
        <v>2</v>
      </c>
      <c r="K11" s="4">
        <f t="shared" si="3"/>
        <v>24</v>
      </c>
      <c r="L11" s="4">
        <f t="shared" si="4"/>
        <v>28</v>
      </c>
      <c r="M11" s="4">
        <f t="shared" si="5"/>
        <v>17</v>
      </c>
    </row>
    <row r="12" spans="1:13">
      <c r="A12" s="4" t="s">
        <v>24</v>
      </c>
      <c r="B12" s="4">
        <v>1</v>
      </c>
      <c r="C12" s="4">
        <v>89</v>
      </c>
      <c r="D12" s="4">
        <v>5.2</v>
      </c>
      <c r="E12" s="4">
        <v>56.8</v>
      </c>
      <c r="F12" s="4">
        <v>5.9</v>
      </c>
      <c r="G12" s="4">
        <v>55.3</v>
      </c>
      <c r="H12" s="4">
        <f t="shared" si="0"/>
        <v>2</v>
      </c>
      <c r="I12" s="4">
        <f t="shared" si="1"/>
        <v>34.5</v>
      </c>
      <c r="J12" s="4">
        <f t="shared" si="2"/>
        <v>6</v>
      </c>
      <c r="K12" s="4">
        <f t="shared" si="3"/>
        <v>1.5</v>
      </c>
      <c r="L12" s="4">
        <f t="shared" si="4"/>
        <v>34</v>
      </c>
      <c r="M12" s="4">
        <f t="shared" si="5"/>
        <v>2</v>
      </c>
    </row>
    <row r="13" spans="1:13">
      <c r="A13" s="4" t="s">
        <v>25</v>
      </c>
      <c r="B13" s="4">
        <v>9</v>
      </c>
      <c r="C13" s="4">
        <v>83</v>
      </c>
      <c r="D13" s="4">
        <v>6.2</v>
      </c>
      <c r="E13" s="4">
        <v>98.2</v>
      </c>
      <c r="F13" s="4">
        <v>4</v>
      </c>
      <c r="G13" s="4">
        <v>97.9</v>
      </c>
      <c r="H13" s="4">
        <f t="shared" si="0"/>
        <v>33</v>
      </c>
      <c r="I13" s="4">
        <f t="shared" si="1"/>
        <v>26.5</v>
      </c>
      <c r="J13" s="4">
        <f t="shared" si="2"/>
        <v>15</v>
      </c>
      <c r="K13" s="4">
        <f t="shared" si="3"/>
        <v>32</v>
      </c>
      <c r="L13" s="4">
        <f t="shared" si="4"/>
        <v>22.5</v>
      </c>
      <c r="M13" s="4">
        <f t="shared" si="5"/>
        <v>33</v>
      </c>
    </row>
    <row r="14" spans="1:13">
      <c r="A14" s="4" t="s">
        <v>26</v>
      </c>
      <c r="B14" s="4">
        <v>1</v>
      </c>
      <c r="C14" s="4">
        <v>86</v>
      </c>
      <c r="D14" s="4">
        <v>5.6</v>
      </c>
      <c r="E14" s="4">
        <v>67.900000000000006</v>
      </c>
      <c r="F14" s="4">
        <v>1.3</v>
      </c>
      <c r="G14" s="4">
        <v>74.2</v>
      </c>
      <c r="H14" s="4">
        <f t="shared" si="0"/>
        <v>2</v>
      </c>
      <c r="I14" s="4">
        <f t="shared" si="1"/>
        <v>31</v>
      </c>
      <c r="J14" s="4">
        <f t="shared" si="2"/>
        <v>9.5</v>
      </c>
      <c r="K14" s="4">
        <f t="shared" si="3"/>
        <v>7</v>
      </c>
      <c r="L14" s="4">
        <f t="shared" si="4"/>
        <v>2</v>
      </c>
      <c r="M14" s="4">
        <f t="shared" si="5"/>
        <v>15</v>
      </c>
    </row>
    <row r="15" spans="1:13">
      <c r="A15" s="4" t="s">
        <v>27</v>
      </c>
      <c r="B15" s="4">
        <v>8</v>
      </c>
      <c r="C15" s="4">
        <v>56</v>
      </c>
      <c r="D15" s="4">
        <v>6.4</v>
      </c>
      <c r="E15" s="4">
        <v>91.6</v>
      </c>
      <c r="F15" s="4">
        <v>2.2999999999999998</v>
      </c>
      <c r="G15" s="4">
        <v>88.6</v>
      </c>
      <c r="H15" s="4">
        <f t="shared" si="0"/>
        <v>28.5</v>
      </c>
      <c r="I15" s="4">
        <f t="shared" si="1"/>
        <v>2</v>
      </c>
      <c r="J15" s="4">
        <f t="shared" si="2"/>
        <v>17.5</v>
      </c>
      <c r="K15" s="4">
        <f t="shared" si="3"/>
        <v>29</v>
      </c>
      <c r="L15" s="4">
        <f t="shared" si="4"/>
        <v>10.5</v>
      </c>
      <c r="M15" s="4">
        <f t="shared" si="5"/>
        <v>28</v>
      </c>
    </row>
    <row r="16" spans="1:13">
      <c r="A16" s="4" t="s">
        <v>28</v>
      </c>
      <c r="B16" s="4">
        <v>2</v>
      </c>
      <c r="C16" s="4">
        <v>63</v>
      </c>
      <c r="D16" s="4">
        <v>5</v>
      </c>
      <c r="E16" s="4">
        <v>59.2</v>
      </c>
      <c r="F16" s="4">
        <v>2.4</v>
      </c>
      <c r="G16" s="4">
        <v>61.9</v>
      </c>
      <c r="H16" s="4">
        <f t="shared" si="0"/>
        <v>6.5</v>
      </c>
      <c r="I16" s="4">
        <f t="shared" si="1"/>
        <v>11</v>
      </c>
      <c r="J16" s="4">
        <f t="shared" si="2"/>
        <v>5</v>
      </c>
      <c r="K16" s="4">
        <f t="shared" si="3"/>
        <v>3</v>
      </c>
      <c r="L16" s="4">
        <f t="shared" si="4"/>
        <v>12.5</v>
      </c>
      <c r="M16" s="4">
        <f t="shared" si="5"/>
        <v>7</v>
      </c>
    </row>
    <row r="17" spans="1:13">
      <c r="A17" s="4" t="s">
        <v>29</v>
      </c>
      <c r="B17" s="4">
        <v>3</v>
      </c>
      <c r="C17" s="4">
        <v>69</v>
      </c>
      <c r="D17" s="4">
        <v>8.1999999999999993</v>
      </c>
      <c r="E17" s="4">
        <v>72</v>
      </c>
      <c r="F17" s="4">
        <v>6.3</v>
      </c>
      <c r="G17" s="4">
        <v>66.2</v>
      </c>
      <c r="H17" s="4">
        <f t="shared" si="0"/>
        <v>13</v>
      </c>
      <c r="I17" s="4">
        <f t="shared" si="1"/>
        <v>12.5</v>
      </c>
      <c r="J17" s="4">
        <f t="shared" si="2"/>
        <v>37</v>
      </c>
      <c r="K17" s="4">
        <f t="shared" si="3"/>
        <v>12</v>
      </c>
      <c r="L17" s="4">
        <f t="shared" si="4"/>
        <v>36</v>
      </c>
      <c r="M17" s="4">
        <f t="shared" si="5"/>
        <v>8</v>
      </c>
    </row>
    <row r="18" spans="1:13">
      <c r="A18" s="4" t="s">
        <v>30</v>
      </c>
      <c r="B18" s="4">
        <v>10</v>
      </c>
      <c r="C18" s="4">
        <v>94</v>
      </c>
      <c r="D18" s="4">
        <v>7.7</v>
      </c>
      <c r="E18" s="4">
        <v>105.4</v>
      </c>
      <c r="F18" s="4">
        <v>4.0999999999999996</v>
      </c>
      <c r="G18" s="4">
        <v>102.7</v>
      </c>
      <c r="H18" s="4">
        <f t="shared" si="0"/>
        <v>37.5</v>
      </c>
      <c r="I18" s="4">
        <f t="shared" si="1"/>
        <v>39</v>
      </c>
      <c r="J18" s="4">
        <f t="shared" si="2"/>
        <v>30</v>
      </c>
      <c r="K18" s="4">
        <f t="shared" si="3"/>
        <v>39</v>
      </c>
      <c r="L18" s="4">
        <f t="shared" si="4"/>
        <v>24.5</v>
      </c>
      <c r="M18" s="4">
        <f t="shared" si="5"/>
        <v>35</v>
      </c>
    </row>
    <row r="19" spans="1:13">
      <c r="A19" s="4" t="s">
        <v>31</v>
      </c>
      <c r="B19" s="4">
        <v>8</v>
      </c>
      <c r="C19" s="4">
        <v>84</v>
      </c>
      <c r="D19" s="4">
        <v>6.4</v>
      </c>
      <c r="E19" s="4">
        <v>93.4</v>
      </c>
      <c r="F19" s="4">
        <v>3.5</v>
      </c>
      <c r="G19" s="4">
        <v>93.4</v>
      </c>
      <c r="H19" s="4">
        <f t="shared" si="0"/>
        <v>28.5</v>
      </c>
      <c r="I19" s="4">
        <f t="shared" si="1"/>
        <v>28.5</v>
      </c>
      <c r="J19" s="4">
        <f t="shared" si="2"/>
        <v>17.5</v>
      </c>
      <c r="K19" s="4">
        <f t="shared" si="3"/>
        <v>30</v>
      </c>
      <c r="L19" s="4">
        <f t="shared" si="4"/>
        <v>19</v>
      </c>
      <c r="M19" s="4">
        <f t="shared" si="5"/>
        <v>31</v>
      </c>
    </row>
    <row r="20" spans="1:13">
      <c r="A20" s="4" t="s">
        <v>32</v>
      </c>
      <c r="B20" s="4">
        <v>2</v>
      </c>
      <c r="C20" s="4">
        <v>71</v>
      </c>
      <c r="D20" s="4">
        <v>6.2</v>
      </c>
      <c r="E20" s="4">
        <v>65.5</v>
      </c>
      <c r="F20" s="4">
        <v>5.8</v>
      </c>
      <c r="G20" s="4">
        <v>66.8</v>
      </c>
      <c r="H20" s="4">
        <f t="shared" si="0"/>
        <v>6.5</v>
      </c>
      <c r="I20" s="4">
        <f t="shared" si="1"/>
        <v>14.5</v>
      </c>
      <c r="J20" s="4">
        <f t="shared" si="2"/>
        <v>15</v>
      </c>
      <c r="K20" s="4">
        <f t="shared" si="3"/>
        <v>5</v>
      </c>
      <c r="L20" s="4">
        <f t="shared" si="4"/>
        <v>32.5</v>
      </c>
      <c r="M20" s="4">
        <f t="shared" si="5"/>
        <v>9</v>
      </c>
    </row>
    <row r="21" spans="1:13">
      <c r="A21" s="4" t="s">
        <v>33</v>
      </c>
      <c r="B21" s="4">
        <v>10</v>
      </c>
      <c r="C21" s="4">
        <v>69</v>
      </c>
      <c r="D21" s="4">
        <v>6.8</v>
      </c>
      <c r="E21" s="4">
        <v>104.7</v>
      </c>
      <c r="F21" s="4">
        <v>2.1</v>
      </c>
      <c r="G21" s="4">
        <v>105</v>
      </c>
      <c r="H21" s="4">
        <f t="shared" si="0"/>
        <v>37.5</v>
      </c>
      <c r="I21" s="4">
        <f t="shared" si="1"/>
        <v>12.5</v>
      </c>
      <c r="J21" s="4">
        <f t="shared" si="2"/>
        <v>21.5</v>
      </c>
      <c r="K21" s="4">
        <f t="shared" si="3"/>
        <v>38</v>
      </c>
      <c r="L21" s="4">
        <f t="shared" si="4"/>
        <v>7</v>
      </c>
      <c r="M21" s="4">
        <f t="shared" si="5"/>
        <v>36</v>
      </c>
    </row>
    <row r="22" spans="1:13">
      <c r="A22" s="4" t="s">
        <v>34</v>
      </c>
      <c r="B22" s="4">
        <v>5</v>
      </c>
      <c r="C22" s="4">
        <v>92</v>
      </c>
      <c r="D22" s="4">
        <v>7.6</v>
      </c>
      <c r="E22" s="4">
        <v>95.6</v>
      </c>
      <c r="F22" s="4">
        <v>1.4</v>
      </c>
      <c r="G22" s="4">
        <v>99.9</v>
      </c>
      <c r="H22" s="4">
        <f t="shared" si="0"/>
        <v>20.5</v>
      </c>
      <c r="I22" s="4">
        <f t="shared" si="1"/>
        <v>36</v>
      </c>
      <c r="J22" s="4">
        <f t="shared" si="2"/>
        <v>28</v>
      </c>
      <c r="K22" s="4">
        <f t="shared" si="3"/>
        <v>31</v>
      </c>
      <c r="L22" s="4">
        <f t="shared" si="4"/>
        <v>3</v>
      </c>
      <c r="M22" s="4">
        <f t="shared" si="5"/>
        <v>34</v>
      </c>
    </row>
    <row r="23" spans="1:13">
      <c r="A23" s="4" t="s">
        <v>35</v>
      </c>
      <c r="B23" s="4">
        <v>1</v>
      </c>
      <c r="C23" s="4">
        <v>72</v>
      </c>
      <c r="D23" s="4">
        <v>8.1</v>
      </c>
      <c r="E23" s="4">
        <v>65</v>
      </c>
      <c r="F23" s="4">
        <v>2</v>
      </c>
      <c r="G23" s="4">
        <v>57</v>
      </c>
      <c r="H23" s="4">
        <f t="shared" si="0"/>
        <v>2</v>
      </c>
      <c r="I23" s="4">
        <f t="shared" si="1"/>
        <v>16.5</v>
      </c>
      <c r="J23" s="4">
        <f t="shared" si="2"/>
        <v>35.5</v>
      </c>
      <c r="K23" s="4">
        <f t="shared" si="3"/>
        <v>4</v>
      </c>
      <c r="L23" s="4">
        <f t="shared" si="4"/>
        <v>6</v>
      </c>
      <c r="M23" s="4">
        <f t="shared" si="5"/>
        <v>3</v>
      </c>
    </row>
    <row r="24" spans="1:13">
      <c r="A24" s="4" t="s">
        <v>36</v>
      </c>
      <c r="B24" s="4">
        <v>10</v>
      </c>
      <c r="C24" s="4">
        <v>99</v>
      </c>
      <c r="D24" s="4">
        <v>7.1</v>
      </c>
      <c r="E24" s="4">
        <v>101.7</v>
      </c>
      <c r="F24" s="4">
        <v>4.3</v>
      </c>
      <c r="G24" s="4">
        <v>111</v>
      </c>
      <c r="H24" s="4">
        <f t="shared" si="0"/>
        <v>37.5</v>
      </c>
      <c r="I24" s="4">
        <f t="shared" si="1"/>
        <v>40</v>
      </c>
      <c r="J24" s="4">
        <f t="shared" si="2"/>
        <v>24</v>
      </c>
      <c r="K24" s="4">
        <f t="shared" si="3"/>
        <v>36</v>
      </c>
      <c r="L24" s="4">
        <f t="shared" si="4"/>
        <v>26</v>
      </c>
      <c r="M24" s="4">
        <f t="shared" si="5"/>
        <v>39</v>
      </c>
    </row>
    <row r="25" spans="1:13">
      <c r="A25" s="4" t="s">
        <v>37</v>
      </c>
      <c r="B25" s="4">
        <v>10</v>
      </c>
      <c r="C25" s="4">
        <v>60</v>
      </c>
      <c r="D25" s="4">
        <v>7.3</v>
      </c>
      <c r="E25" s="4">
        <v>101.4</v>
      </c>
      <c r="F25" s="4">
        <v>2.2999999999999998</v>
      </c>
      <c r="G25" s="4">
        <v>108.6</v>
      </c>
      <c r="H25" s="4">
        <f t="shared" si="0"/>
        <v>37.5</v>
      </c>
      <c r="I25" s="4">
        <f t="shared" si="1"/>
        <v>9</v>
      </c>
      <c r="J25" s="4">
        <f t="shared" si="2"/>
        <v>25.5</v>
      </c>
      <c r="K25" s="4">
        <f t="shared" si="3"/>
        <v>35</v>
      </c>
      <c r="L25" s="4">
        <f t="shared" si="4"/>
        <v>10.5</v>
      </c>
      <c r="M25" s="4">
        <f t="shared" si="5"/>
        <v>37</v>
      </c>
    </row>
    <row r="26" spans="1:13">
      <c r="A26" s="4" t="s">
        <v>38</v>
      </c>
      <c r="B26" s="4">
        <v>3</v>
      </c>
      <c r="C26" s="4">
        <v>59</v>
      </c>
      <c r="D26" s="4">
        <v>4.8</v>
      </c>
      <c r="E26" s="4">
        <v>56.8</v>
      </c>
      <c r="F26" s="4">
        <v>6.5</v>
      </c>
      <c r="G26" s="4">
        <v>50.1</v>
      </c>
      <c r="H26" s="4">
        <f t="shared" si="0"/>
        <v>13</v>
      </c>
      <c r="I26" s="4">
        <f t="shared" si="1"/>
        <v>7</v>
      </c>
      <c r="J26" s="4">
        <f t="shared" si="2"/>
        <v>2</v>
      </c>
      <c r="K26" s="4">
        <f t="shared" si="3"/>
        <v>1.5</v>
      </c>
      <c r="L26" s="4">
        <f t="shared" si="4"/>
        <v>37</v>
      </c>
      <c r="M26" s="4">
        <f t="shared" si="5"/>
        <v>1</v>
      </c>
    </row>
    <row r="27" spans="1:13">
      <c r="A27" s="4" t="s">
        <v>39</v>
      </c>
      <c r="B27" s="4">
        <v>4</v>
      </c>
      <c r="C27" s="4">
        <v>71</v>
      </c>
      <c r="D27" s="4">
        <v>4.8</v>
      </c>
      <c r="E27" s="4">
        <v>70</v>
      </c>
      <c r="F27" s="4">
        <v>1.6</v>
      </c>
      <c r="G27" s="4">
        <v>60.6</v>
      </c>
      <c r="H27" s="4">
        <f t="shared" si="0"/>
        <v>18</v>
      </c>
      <c r="I27" s="4">
        <f t="shared" si="1"/>
        <v>14.5</v>
      </c>
      <c r="J27" s="4">
        <f t="shared" si="2"/>
        <v>2</v>
      </c>
      <c r="K27" s="4">
        <f t="shared" si="3"/>
        <v>10</v>
      </c>
      <c r="L27" s="4">
        <f t="shared" si="4"/>
        <v>4</v>
      </c>
      <c r="M27" s="4">
        <f t="shared" si="5"/>
        <v>5</v>
      </c>
    </row>
    <row r="28" spans="1:13">
      <c r="A28" s="4" t="s">
        <v>40</v>
      </c>
      <c r="B28" s="4">
        <v>10</v>
      </c>
      <c r="C28" s="4">
        <v>73</v>
      </c>
      <c r="D28" s="4">
        <v>7.7</v>
      </c>
      <c r="E28" s="4">
        <v>99.3</v>
      </c>
      <c r="F28" s="4">
        <v>3.2</v>
      </c>
      <c r="G28" s="4">
        <v>90.4</v>
      </c>
      <c r="H28" s="4">
        <f t="shared" si="0"/>
        <v>37.5</v>
      </c>
      <c r="I28" s="4">
        <f t="shared" si="1"/>
        <v>18.5</v>
      </c>
      <c r="J28" s="4">
        <f t="shared" si="2"/>
        <v>30</v>
      </c>
      <c r="K28" s="4">
        <f t="shared" si="3"/>
        <v>34</v>
      </c>
      <c r="L28" s="4">
        <f t="shared" si="4"/>
        <v>17</v>
      </c>
      <c r="M28" s="4">
        <f t="shared" si="5"/>
        <v>29</v>
      </c>
    </row>
    <row r="29" spans="1:13">
      <c r="A29" s="4" t="s">
        <v>41</v>
      </c>
      <c r="B29" s="4">
        <v>3</v>
      </c>
      <c r="C29" s="4">
        <v>72</v>
      </c>
      <c r="D29" s="4">
        <v>7.9</v>
      </c>
      <c r="E29" s="4">
        <v>74.400000000000006</v>
      </c>
      <c r="F29" s="4">
        <v>1.2</v>
      </c>
      <c r="G29" s="4">
        <v>82.8</v>
      </c>
      <c r="H29" s="4">
        <f t="shared" si="0"/>
        <v>13</v>
      </c>
      <c r="I29" s="4">
        <f t="shared" si="1"/>
        <v>16.5</v>
      </c>
      <c r="J29" s="4">
        <f t="shared" si="2"/>
        <v>33</v>
      </c>
      <c r="K29" s="4">
        <f t="shared" si="3"/>
        <v>15</v>
      </c>
      <c r="L29" s="4">
        <f t="shared" si="4"/>
        <v>1</v>
      </c>
      <c r="M29" s="4">
        <f t="shared" si="5"/>
        <v>23</v>
      </c>
    </row>
    <row r="30" spans="1:13">
      <c r="A30" s="4" t="s">
        <v>42</v>
      </c>
      <c r="B30" s="4">
        <v>2</v>
      </c>
      <c r="C30" s="4">
        <v>93</v>
      </c>
      <c r="D30" s="4">
        <v>8.4</v>
      </c>
      <c r="E30" s="4">
        <v>76.099999999999994</v>
      </c>
      <c r="F30" s="4">
        <v>3.1</v>
      </c>
      <c r="G30" s="4">
        <v>67.2</v>
      </c>
      <c r="H30" s="4">
        <f t="shared" si="0"/>
        <v>6.5</v>
      </c>
      <c r="I30" s="4">
        <f t="shared" si="1"/>
        <v>37.5</v>
      </c>
      <c r="J30" s="4">
        <f t="shared" si="2"/>
        <v>39.5</v>
      </c>
      <c r="K30" s="4">
        <f t="shared" si="3"/>
        <v>17</v>
      </c>
      <c r="L30" s="4">
        <f t="shared" si="4"/>
        <v>16</v>
      </c>
      <c r="M30" s="4">
        <f t="shared" si="5"/>
        <v>10</v>
      </c>
    </row>
    <row r="31" spans="1:13">
      <c r="A31" s="4" t="s">
        <v>43</v>
      </c>
      <c r="B31" s="4">
        <v>8</v>
      </c>
      <c r="C31" s="4">
        <v>83</v>
      </c>
      <c r="D31" s="4">
        <v>5.9</v>
      </c>
      <c r="E31" s="4">
        <v>90.3</v>
      </c>
      <c r="F31" s="4">
        <v>4</v>
      </c>
      <c r="G31" s="4">
        <v>86.6</v>
      </c>
      <c r="H31" s="4">
        <f t="shared" si="0"/>
        <v>28.5</v>
      </c>
      <c r="I31" s="4">
        <f t="shared" si="1"/>
        <v>26.5</v>
      </c>
      <c r="J31" s="4">
        <f t="shared" si="2"/>
        <v>12</v>
      </c>
      <c r="K31" s="4">
        <f t="shared" si="3"/>
        <v>27</v>
      </c>
      <c r="L31" s="4">
        <f t="shared" si="4"/>
        <v>22.5</v>
      </c>
      <c r="M31" s="4">
        <f t="shared" si="5"/>
        <v>27</v>
      </c>
    </row>
    <row r="32" spans="1:13">
      <c r="A32" s="4" t="s">
        <v>44</v>
      </c>
      <c r="B32" s="4">
        <v>3</v>
      </c>
      <c r="C32" s="4">
        <v>78</v>
      </c>
      <c r="D32" s="4">
        <v>6.2</v>
      </c>
      <c r="E32" s="4">
        <v>76.8</v>
      </c>
      <c r="F32" s="4">
        <v>2.4</v>
      </c>
      <c r="G32" s="4">
        <v>85.7</v>
      </c>
      <c r="H32" s="4">
        <f t="shared" si="0"/>
        <v>13</v>
      </c>
      <c r="I32" s="4">
        <f t="shared" si="1"/>
        <v>22</v>
      </c>
      <c r="J32" s="4">
        <f t="shared" si="2"/>
        <v>15</v>
      </c>
      <c r="K32" s="4">
        <f t="shared" si="3"/>
        <v>18</v>
      </c>
      <c r="L32" s="4">
        <f t="shared" si="4"/>
        <v>12.5</v>
      </c>
      <c r="M32" s="4">
        <f t="shared" si="5"/>
        <v>26</v>
      </c>
    </row>
    <row r="33" spans="1:13">
      <c r="A33" s="4" t="s">
        <v>45</v>
      </c>
      <c r="B33" s="4">
        <v>10</v>
      </c>
      <c r="C33" s="4">
        <v>80</v>
      </c>
      <c r="D33" s="4">
        <v>6.6</v>
      </c>
      <c r="E33" s="4">
        <v>112.1</v>
      </c>
      <c r="F33" s="4">
        <v>1.8</v>
      </c>
      <c r="G33" s="4">
        <v>115.5</v>
      </c>
      <c r="H33" s="4">
        <f t="shared" si="0"/>
        <v>37.5</v>
      </c>
      <c r="I33" s="4">
        <f t="shared" si="1"/>
        <v>24</v>
      </c>
      <c r="J33" s="4">
        <f t="shared" si="2"/>
        <v>19.5</v>
      </c>
      <c r="K33" s="4">
        <f t="shared" si="3"/>
        <v>40</v>
      </c>
      <c r="L33" s="4">
        <f t="shared" si="4"/>
        <v>5</v>
      </c>
      <c r="M33" s="4">
        <f t="shared" si="5"/>
        <v>40</v>
      </c>
    </row>
    <row r="34" spans="1:13">
      <c r="A34" s="4" t="s">
        <v>46</v>
      </c>
      <c r="B34" s="4">
        <v>6</v>
      </c>
      <c r="C34" s="4">
        <v>73</v>
      </c>
      <c r="D34" s="4">
        <v>8.1</v>
      </c>
      <c r="E34" s="4">
        <v>86.9</v>
      </c>
      <c r="F34" s="4">
        <v>6.9</v>
      </c>
      <c r="G34" s="4">
        <v>77.8</v>
      </c>
      <c r="H34" s="4">
        <f t="shared" si="0"/>
        <v>23</v>
      </c>
      <c r="I34" s="4">
        <f t="shared" si="1"/>
        <v>18.5</v>
      </c>
      <c r="J34" s="4">
        <f t="shared" si="2"/>
        <v>35.5</v>
      </c>
      <c r="K34" s="4">
        <f t="shared" si="3"/>
        <v>26</v>
      </c>
      <c r="L34" s="4">
        <f t="shared" si="4"/>
        <v>40</v>
      </c>
      <c r="M34" s="4">
        <f t="shared" si="5"/>
        <v>18</v>
      </c>
    </row>
    <row r="35" spans="1:13">
      <c r="A35" s="4" t="s">
        <v>47</v>
      </c>
      <c r="B35" s="4">
        <v>6</v>
      </c>
      <c r="C35" s="4">
        <v>61</v>
      </c>
      <c r="D35" s="4">
        <v>4.9000000000000004</v>
      </c>
      <c r="E35" s="4">
        <v>78.2</v>
      </c>
      <c r="F35" s="4">
        <v>4.4000000000000004</v>
      </c>
      <c r="G35" s="4">
        <v>70.5</v>
      </c>
      <c r="H35" s="4">
        <f t="shared" si="0"/>
        <v>23</v>
      </c>
      <c r="I35" s="4">
        <f t="shared" si="1"/>
        <v>10</v>
      </c>
      <c r="J35" s="4">
        <f t="shared" si="2"/>
        <v>4</v>
      </c>
      <c r="K35" s="4">
        <f t="shared" si="3"/>
        <v>19</v>
      </c>
      <c r="L35" s="4">
        <f t="shared" si="4"/>
        <v>28</v>
      </c>
      <c r="M35" s="4">
        <f t="shared" si="5"/>
        <v>13</v>
      </c>
    </row>
    <row r="36" spans="1:13">
      <c r="A36" s="4" t="s">
        <v>48</v>
      </c>
      <c r="B36" s="4">
        <v>8</v>
      </c>
      <c r="C36" s="4">
        <v>58</v>
      </c>
      <c r="D36" s="4">
        <v>7.7</v>
      </c>
      <c r="E36" s="4">
        <v>90.8</v>
      </c>
      <c r="F36" s="4">
        <v>5.8</v>
      </c>
      <c r="G36" s="4">
        <v>84.8</v>
      </c>
      <c r="H36" s="4">
        <f t="shared" si="0"/>
        <v>28.5</v>
      </c>
      <c r="I36" s="4">
        <f t="shared" si="1"/>
        <v>4.5</v>
      </c>
      <c r="J36" s="4">
        <f t="shared" si="2"/>
        <v>30</v>
      </c>
      <c r="K36" s="4">
        <f t="shared" si="3"/>
        <v>28</v>
      </c>
      <c r="L36" s="4">
        <f t="shared" si="4"/>
        <v>32.5</v>
      </c>
      <c r="M36" s="4">
        <f t="shared" si="5"/>
        <v>24</v>
      </c>
    </row>
    <row r="37" spans="1:13">
      <c r="A37" s="4" t="s">
        <v>49</v>
      </c>
      <c r="B37" s="4">
        <v>2</v>
      </c>
      <c r="C37" s="4">
        <v>85</v>
      </c>
      <c r="D37" s="4">
        <v>8.3000000000000007</v>
      </c>
      <c r="E37" s="4">
        <v>74.2</v>
      </c>
      <c r="F37" s="4">
        <v>5.5</v>
      </c>
      <c r="G37" s="4">
        <v>82</v>
      </c>
      <c r="H37" s="4">
        <f t="shared" si="0"/>
        <v>6.5</v>
      </c>
      <c r="I37" s="4">
        <f t="shared" si="1"/>
        <v>30</v>
      </c>
      <c r="J37" s="4">
        <f t="shared" si="2"/>
        <v>38</v>
      </c>
      <c r="K37" s="4">
        <f t="shared" si="3"/>
        <v>14</v>
      </c>
      <c r="L37" s="4">
        <f t="shared" si="4"/>
        <v>31</v>
      </c>
      <c r="M37" s="4">
        <f t="shared" si="5"/>
        <v>21</v>
      </c>
    </row>
    <row r="38" spans="1:13">
      <c r="A38" s="4" t="s">
        <v>50</v>
      </c>
      <c r="B38" s="4">
        <v>3</v>
      </c>
      <c r="C38" s="4">
        <v>79</v>
      </c>
      <c r="D38" s="4">
        <v>7.3</v>
      </c>
      <c r="E38" s="4">
        <v>65.7</v>
      </c>
      <c r="F38" s="4">
        <v>4.4000000000000004</v>
      </c>
      <c r="G38" s="4">
        <v>57.3</v>
      </c>
      <c r="H38" s="4">
        <f t="shared" si="0"/>
        <v>13</v>
      </c>
      <c r="I38" s="4">
        <f t="shared" si="1"/>
        <v>23</v>
      </c>
      <c r="J38" s="4">
        <f t="shared" si="2"/>
        <v>25.5</v>
      </c>
      <c r="K38" s="4">
        <f t="shared" si="3"/>
        <v>6</v>
      </c>
      <c r="L38" s="4">
        <f t="shared" si="4"/>
        <v>28</v>
      </c>
      <c r="M38" s="4">
        <f t="shared" si="5"/>
        <v>4</v>
      </c>
    </row>
    <row r="39" spans="1:13">
      <c r="A39" s="4" t="s">
        <v>51</v>
      </c>
      <c r="B39" s="4">
        <v>9</v>
      </c>
      <c r="C39" s="4">
        <v>89</v>
      </c>
      <c r="D39" s="4">
        <v>7.8</v>
      </c>
      <c r="E39" s="4">
        <v>98.7</v>
      </c>
      <c r="F39" s="4">
        <v>2.2000000000000002</v>
      </c>
      <c r="G39" s="4">
        <v>96.3</v>
      </c>
      <c r="H39" s="4">
        <f t="shared" si="0"/>
        <v>33</v>
      </c>
      <c r="I39" s="4">
        <f t="shared" si="1"/>
        <v>34.5</v>
      </c>
      <c r="J39" s="4">
        <f t="shared" si="2"/>
        <v>32</v>
      </c>
      <c r="K39" s="4">
        <f t="shared" si="3"/>
        <v>33</v>
      </c>
      <c r="L39" s="4">
        <f t="shared" si="4"/>
        <v>8.5</v>
      </c>
      <c r="M39" s="4">
        <f t="shared" si="5"/>
        <v>32</v>
      </c>
    </row>
    <row r="40" spans="1:13">
      <c r="A40" s="4" t="s">
        <v>52</v>
      </c>
      <c r="B40" s="4">
        <v>8</v>
      </c>
      <c r="C40" s="4">
        <v>59</v>
      </c>
      <c r="D40" s="4">
        <v>7</v>
      </c>
      <c r="E40" s="4">
        <v>79.3</v>
      </c>
      <c r="F40" s="4">
        <v>6.6</v>
      </c>
      <c r="G40" s="4">
        <v>72.900000000000006</v>
      </c>
      <c r="H40" s="4">
        <f t="shared" si="0"/>
        <v>28.5</v>
      </c>
      <c r="I40" s="4">
        <f t="shared" si="1"/>
        <v>7</v>
      </c>
      <c r="J40" s="4">
        <f t="shared" si="2"/>
        <v>23</v>
      </c>
      <c r="K40" s="4">
        <f t="shared" si="3"/>
        <v>22</v>
      </c>
      <c r="L40" s="4">
        <f t="shared" si="4"/>
        <v>38</v>
      </c>
      <c r="M40" s="4">
        <f t="shared" si="5"/>
        <v>14</v>
      </c>
    </row>
    <row r="41" spans="1:13">
      <c r="A41" s="4" t="s">
        <v>53</v>
      </c>
      <c r="B41" s="4">
        <v>3</v>
      </c>
      <c r="C41" s="4">
        <v>87</v>
      </c>
      <c r="D41" s="4">
        <v>5.3</v>
      </c>
      <c r="E41" s="4">
        <v>71.7</v>
      </c>
      <c r="F41" s="4">
        <v>3.9</v>
      </c>
      <c r="G41" s="4">
        <v>81.599999999999994</v>
      </c>
      <c r="H41" s="4">
        <f t="shared" si="0"/>
        <v>13</v>
      </c>
      <c r="I41" s="4">
        <f t="shared" si="1"/>
        <v>32.5</v>
      </c>
      <c r="J41" s="4">
        <f t="shared" si="2"/>
        <v>7</v>
      </c>
      <c r="K41" s="4">
        <f t="shared" si="3"/>
        <v>11</v>
      </c>
      <c r="L41" s="4">
        <f t="shared" si="4"/>
        <v>21</v>
      </c>
      <c r="M41" s="4">
        <f t="shared" si="5"/>
        <v>20</v>
      </c>
    </row>
    <row r="42" spans="1:13">
      <c r="A42" s="4" t="s">
        <v>54</v>
      </c>
      <c r="B42" s="4">
        <v>2</v>
      </c>
      <c r="C42" s="4">
        <v>84</v>
      </c>
      <c r="D42" s="4">
        <v>6.1</v>
      </c>
      <c r="E42" s="4">
        <v>68.400000000000006</v>
      </c>
      <c r="F42" s="4">
        <v>2.9</v>
      </c>
      <c r="G42" s="4">
        <v>78.400000000000006</v>
      </c>
      <c r="H42" s="4">
        <f t="shared" si="0"/>
        <v>6.5</v>
      </c>
      <c r="I42" s="4">
        <f t="shared" si="1"/>
        <v>28.5</v>
      </c>
      <c r="J42" s="4">
        <f t="shared" si="2"/>
        <v>13</v>
      </c>
      <c r="K42" s="4">
        <f t="shared" si="3"/>
        <v>8.5</v>
      </c>
      <c r="L42" s="4">
        <f t="shared" si="4"/>
        <v>14.5</v>
      </c>
      <c r="M42" s="4">
        <f t="shared" si="5"/>
        <v>19</v>
      </c>
    </row>
    <row r="43" spans="1:13">
      <c r="A43" s="4" t="s">
        <v>55</v>
      </c>
      <c r="B43" s="4">
        <v>3</v>
      </c>
      <c r="C43" s="4">
        <v>82</v>
      </c>
      <c r="D43" s="4">
        <v>7.5</v>
      </c>
      <c r="E43" s="4">
        <v>81.2</v>
      </c>
      <c r="F43" s="4">
        <v>2.9</v>
      </c>
      <c r="G43" s="4">
        <v>75.8</v>
      </c>
      <c r="H43" s="4">
        <f t="shared" si="0"/>
        <v>13</v>
      </c>
      <c r="I43" s="4">
        <f t="shared" si="1"/>
        <v>25</v>
      </c>
      <c r="J43" s="4">
        <f t="shared" si="2"/>
        <v>27</v>
      </c>
      <c r="K43" s="4">
        <f t="shared" si="3"/>
        <v>23</v>
      </c>
      <c r="L43" s="4">
        <f t="shared" si="4"/>
        <v>14.5</v>
      </c>
      <c r="M43" s="4">
        <f t="shared" si="5"/>
        <v>16</v>
      </c>
    </row>
    <row r="44" spans="1:13">
      <c r="A44" s="4" t="s">
        <v>56</v>
      </c>
      <c r="B44" s="4">
        <v>4</v>
      </c>
      <c r="C44" s="4">
        <v>76</v>
      </c>
      <c r="D44" s="4">
        <v>5.6</v>
      </c>
      <c r="E44" s="4">
        <v>78.400000000000006</v>
      </c>
      <c r="F44" s="4">
        <v>4.7</v>
      </c>
      <c r="G44" s="4">
        <v>85.6</v>
      </c>
      <c r="H44" s="4">
        <f t="shared" si="0"/>
        <v>18</v>
      </c>
      <c r="I44" s="4">
        <f t="shared" si="1"/>
        <v>20</v>
      </c>
      <c r="J44" s="4">
        <f t="shared" si="2"/>
        <v>9.5</v>
      </c>
      <c r="K44" s="4">
        <f t="shared" si="3"/>
        <v>20</v>
      </c>
      <c r="L44" s="4">
        <f t="shared" si="4"/>
        <v>30</v>
      </c>
      <c r="M44" s="4">
        <f t="shared" si="5"/>
        <v>25</v>
      </c>
    </row>
    <row r="45" spans="1:13">
      <c r="A45" s="4" t="s">
        <v>57</v>
      </c>
      <c r="B45" s="4">
        <v>6</v>
      </c>
      <c r="C45" s="4">
        <v>58</v>
      </c>
      <c r="D45" s="4">
        <v>8</v>
      </c>
      <c r="E45" s="4">
        <v>86.5</v>
      </c>
      <c r="F45" s="4">
        <v>2.2000000000000002</v>
      </c>
      <c r="G45" s="4">
        <v>91.1</v>
      </c>
      <c r="H45" s="4">
        <f t="shared" si="0"/>
        <v>23</v>
      </c>
      <c r="I45" s="4">
        <f t="shared" si="1"/>
        <v>4.5</v>
      </c>
      <c r="J45" s="4">
        <f t="shared" si="2"/>
        <v>34</v>
      </c>
      <c r="K45" s="4">
        <f t="shared" si="3"/>
        <v>25</v>
      </c>
      <c r="L45" s="4">
        <f t="shared" si="4"/>
        <v>8.5</v>
      </c>
      <c r="M45" s="4">
        <f t="shared" si="5"/>
        <v>30</v>
      </c>
    </row>
    <row r="54" spans="14:20">
      <c r="N54" s="8" t="s">
        <v>58</v>
      </c>
      <c r="O54" s="8" t="s">
        <v>6</v>
      </c>
      <c r="P54" s="9" t="s">
        <v>7</v>
      </c>
      <c r="Q54" s="8" t="s">
        <v>8</v>
      </c>
      <c r="R54" s="8" t="s">
        <v>9</v>
      </c>
      <c r="S54" s="8" t="s">
        <v>59</v>
      </c>
      <c r="T54" s="8" t="s">
        <v>60</v>
      </c>
    </row>
    <row r="55" spans="14:20">
      <c r="N55" t="s">
        <v>61</v>
      </c>
      <c r="O55">
        <f>AVERAGE(Table2[Study_Hours])</f>
        <v>5.45</v>
      </c>
      <c r="P55">
        <f>AVERAGE(Table2[Attendance_%])</f>
        <v>75.375</v>
      </c>
      <c r="Q55">
        <f>AVERAGE(Table2[Sleep_Hours])</f>
        <v>6.6850000000000005</v>
      </c>
      <c r="R55">
        <f>AVERAGE(Table2[Exam_Score])</f>
        <v>81.960000000000008</v>
      </c>
      <c r="S55">
        <f>AVERAGE(Table2[Screen_Time_Hours])</f>
        <v>3.8074999999999997</v>
      </c>
      <c r="T55">
        <f>AVERAGE(Table2[Practice_Test_Score])</f>
        <v>81.245000000000019</v>
      </c>
    </row>
    <row r="56" spans="14:20">
      <c r="N56" t="s">
        <v>62</v>
      </c>
      <c r="O56">
        <f>MEDIAN(Table2[Study_Hours])</f>
        <v>5</v>
      </c>
      <c r="P56">
        <f>MEDIAN(Table2[Attendance_%])</f>
        <v>76.5</v>
      </c>
      <c r="Q56">
        <f>MEDIAN(Table2[Sleep_Hours])</f>
        <v>6.6999999999999993</v>
      </c>
      <c r="R56">
        <f>MEDIAN(Table2[Exam_Score])</f>
        <v>78.650000000000006</v>
      </c>
      <c r="S56">
        <f>MEDIAN(Table2[Screen_Time_Hours])</f>
        <v>3.7</v>
      </c>
      <c r="T56">
        <f>MEDIAN(Table2[Practice_Test_Score])</f>
        <v>81.8</v>
      </c>
    </row>
    <row r="57" spans="14:20">
      <c r="N57" t="s">
        <v>63</v>
      </c>
      <c r="O57">
        <f>O55-O56</f>
        <v>0.45000000000000018</v>
      </c>
      <c r="P57">
        <f>P55-P56</f>
        <v>-1.125</v>
      </c>
      <c r="Q57">
        <f t="shared" ref="Q57:T57" si="6">Q55-Q56</f>
        <v>-1.4999999999998792E-2</v>
      </c>
      <c r="R57">
        <f t="shared" si="6"/>
        <v>3.3100000000000023</v>
      </c>
      <c r="S57">
        <f t="shared" si="6"/>
        <v>0.10749999999999948</v>
      </c>
      <c r="T57">
        <f t="shared" si="6"/>
        <v>-0.5549999999999784</v>
      </c>
    </row>
    <row r="58" spans="14:20"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65</v>
      </c>
      <c r="T58" t="s">
        <v>69</v>
      </c>
    </row>
    <row r="59" spans="14:20">
      <c r="N59" t="s">
        <v>70</v>
      </c>
      <c r="O59" s="10">
        <f>_xlfn.STDEV.S(Table2[Study_Hours])</f>
        <v>3.1374495603259898</v>
      </c>
      <c r="P59" s="10">
        <f>_xlfn.STDEV.S(Table2[Attendance_%])</f>
        <v>12.699056092522216</v>
      </c>
      <c r="Q59" s="10">
        <f>_xlfn.STDEV.S(Table2[Sleep_Hours])</f>
        <v>1.1603602446808781</v>
      </c>
      <c r="R59" s="10">
        <f>_xlfn.STDEV.S(Table2[Exam_Score])</f>
        <v>14.754587291884736</v>
      </c>
      <c r="S59" s="10">
        <f>_xlfn.STDEV.S(Table2[Screen_Time_Hours])</f>
        <v>1.7013399696438387</v>
      </c>
      <c r="T59" s="10">
        <f>_xlfn.STDEV.S(Table2[Practice_Test_Score])</f>
        <v>16.93936320057583</v>
      </c>
    </row>
    <row r="60" spans="14:20">
      <c r="N60" t="s">
        <v>71</v>
      </c>
      <c r="O60">
        <f>MIN(Table2[Study_Hours])</f>
        <v>1</v>
      </c>
      <c r="P60">
        <f>MIN(Table2[Attendance_%])</f>
        <v>55</v>
      </c>
      <c r="Q60">
        <f>MIN(Table2[Sleep_Hours])</f>
        <v>4.8</v>
      </c>
      <c r="R60">
        <f>MIN(Table2[Exam_Score])</f>
        <v>56.8</v>
      </c>
      <c r="S60">
        <f>MIN(Table2[Screen_Time_Hours])</f>
        <v>1.2</v>
      </c>
      <c r="T60">
        <f>MIN(Table2[Practice_Test_Score])</f>
        <v>50.1</v>
      </c>
    </row>
    <row r="61" spans="14:20">
      <c r="N61" t="s">
        <v>72</v>
      </c>
      <c r="O61">
        <f>MAX(Table2[Study_Hours])</f>
        <v>10</v>
      </c>
      <c r="P61">
        <f>MAX(Table2[Attendance_%])</f>
        <v>99</v>
      </c>
      <c r="Q61">
        <f>MAX(Table2[Sleep_Hours])</f>
        <v>8.4</v>
      </c>
      <c r="R61">
        <f>MAX(Table2[Exam_Score])</f>
        <v>112.1</v>
      </c>
      <c r="S61">
        <f>MAX(Table2[Screen_Time_Hours])</f>
        <v>6.9</v>
      </c>
      <c r="T61">
        <f>MAX(Table2[Practice_Test_Score])</f>
        <v>115.5</v>
      </c>
    </row>
    <row r="62" spans="14:20">
      <c r="N62" s="11" t="s">
        <v>73</v>
      </c>
      <c r="O62">
        <f>_xlfn.QUARTILE.INC(Table2[Study_Hours],1)</f>
        <v>3</v>
      </c>
      <c r="P62">
        <f>_xlfn.QUARTILE.INC(Table2[Attendance_%],1)</f>
        <v>62.5</v>
      </c>
      <c r="Q62">
        <f>_xlfn.QUARTILE.INC(Table2[Sleep_Hours],1)</f>
        <v>5.6749999999999998</v>
      </c>
      <c r="R62">
        <f>_xlfn.QUARTILE.INC(Table2[Exam_Score],1)</f>
        <v>71.275000000000006</v>
      </c>
      <c r="S62">
        <f>_xlfn.QUARTILE.INC(Table2[Screen_Time_Hours],1)</f>
        <v>2.2999999999999998</v>
      </c>
      <c r="T62">
        <f>_xlfn.QUARTILE.INC(Table2[Practice_Test_Score],1)</f>
        <v>67.875</v>
      </c>
    </row>
    <row r="63" spans="14:20">
      <c r="N63" t="s">
        <v>74</v>
      </c>
      <c r="O63">
        <f>_xlfn.QUARTILE.INC(Table2[Study_Hours],3)</f>
        <v>8</v>
      </c>
      <c r="P63">
        <f>_xlfn.QUARTILE.INC(Table2[Attendance_%],3)</f>
        <v>85.25</v>
      </c>
      <c r="Q63">
        <f>_xlfn.QUARTILE.INC(Table2[Sleep_Hours],3)</f>
        <v>7.7</v>
      </c>
      <c r="R63">
        <f>_xlfn.QUARTILE.INC(Table2[Exam_Score],3)</f>
        <v>93.95</v>
      </c>
      <c r="S63">
        <f>_xlfn.QUARTILE.INC(Table2[Screen_Time_Hours],3)</f>
        <v>4.9000000000000004</v>
      </c>
      <c r="T63">
        <f>_xlfn.QUARTILE.INC(Table2[Practice_Test_Score],3)</f>
        <v>91.674999999999997</v>
      </c>
    </row>
    <row r="64" spans="14:20">
      <c r="N64" t="s">
        <v>75</v>
      </c>
      <c r="O64">
        <f>O63-O62</f>
        <v>5</v>
      </c>
      <c r="P64">
        <f t="shared" ref="P64:T64" si="7">P63-P62</f>
        <v>22.75</v>
      </c>
      <c r="Q64">
        <f t="shared" si="7"/>
        <v>2.0250000000000004</v>
      </c>
      <c r="R64">
        <f t="shared" si="7"/>
        <v>22.674999999999997</v>
      </c>
      <c r="S64">
        <f t="shared" si="7"/>
        <v>2.6000000000000005</v>
      </c>
      <c r="T64">
        <f t="shared" si="7"/>
        <v>23.799999999999997</v>
      </c>
    </row>
    <row r="65" spans="14:20">
      <c r="N65" t="s">
        <v>76</v>
      </c>
      <c r="O65">
        <f>O62-1.5*(O64)</f>
        <v>-4.5</v>
      </c>
      <c r="P65">
        <f t="shared" ref="P65:T65" si="8">P62-1.5*(P64)</f>
        <v>28.375</v>
      </c>
      <c r="Q65">
        <f t="shared" si="8"/>
        <v>2.6374999999999993</v>
      </c>
      <c r="R65">
        <f t="shared" si="8"/>
        <v>37.26250000000001</v>
      </c>
      <c r="S65">
        <f t="shared" si="8"/>
        <v>-1.600000000000001</v>
      </c>
      <c r="T65">
        <f t="shared" si="8"/>
        <v>32.175000000000004</v>
      </c>
    </row>
    <row r="66" spans="14:20">
      <c r="N66" t="s">
        <v>77</v>
      </c>
      <c r="O66">
        <f>O63+1.5*(O64)</f>
        <v>15.5</v>
      </c>
      <c r="P66">
        <f t="shared" ref="P66:T66" si="9">P63+1.5*(P64)</f>
        <v>119.375</v>
      </c>
      <c r="Q66">
        <f t="shared" si="9"/>
        <v>10.737500000000001</v>
      </c>
      <c r="R66">
        <f t="shared" si="9"/>
        <v>127.96250000000001</v>
      </c>
      <c r="S66">
        <f t="shared" si="9"/>
        <v>8.8000000000000007</v>
      </c>
      <c r="T66">
        <f t="shared" si="9"/>
        <v>127.375</v>
      </c>
    </row>
    <row r="68" spans="14:20">
      <c r="N68" t="s">
        <v>78</v>
      </c>
    </row>
    <row r="69" spans="14:20">
      <c r="N69" s="9" t="s">
        <v>79</v>
      </c>
      <c r="O69" s="9" t="s">
        <v>80</v>
      </c>
      <c r="P69" s="9" t="s">
        <v>81</v>
      </c>
      <c r="Q69" s="9" t="s">
        <v>82</v>
      </c>
    </row>
    <row r="70" spans="14:20">
      <c r="N70" s="12" t="s">
        <v>83</v>
      </c>
      <c r="O70" s="11">
        <f>CORREL(Table2[Study_Hours],Table2[Exam_Score])</f>
        <v>0.9046409936595321</v>
      </c>
      <c r="P70" s="11">
        <f>PEARSON(Table2[Study_Hours],Table2[Exam_Score])</f>
        <v>0.9046409936595321</v>
      </c>
      <c r="Q70" t="s">
        <v>84</v>
      </c>
    </row>
    <row r="71" spans="14:20">
      <c r="N71" s="12" t="s">
        <v>85</v>
      </c>
      <c r="O71" s="11">
        <f>CORREL(Table2[Attendance_%],Table2[Exam_Score])</f>
        <v>0.1064810440239949</v>
      </c>
      <c r="P71" s="11">
        <f>PEARSON(Table2[Attendance_%],Table2[Exam_Score])</f>
        <v>0.1064810440239949</v>
      </c>
      <c r="Q71" t="s">
        <v>86</v>
      </c>
    </row>
    <row r="72" spans="14:20">
      <c r="N72" s="12" t="s">
        <v>87</v>
      </c>
      <c r="O72" s="11">
        <f>CORREL(Table2[Sleep_Hours],Table2[Exam_Score])</f>
        <v>0.30518874896198339</v>
      </c>
      <c r="P72" s="11">
        <f>PEARSON(Table2[Sleep_Hours],Table2[Exam_Score])</f>
        <v>0.30518874896198339</v>
      </c>
      <c r="Q72" t="s">
        <v>88</v>
      </c>
    </row>
    <row r="73" spans="14:20">
      <c r="N73" s="12" t="s">
        <v>89</v>
      </c>
      <c r="O73" s="11">
        <f>CORREL(Table2[Screen_Time_Hours],Table2[Exam_Score])</f>
        <v>-0.23854745000101177</v>
      </c>
      <c r="P73" s="11">
        <f>PEARSON(Table2[Screen_Time_Hours],Table2[Exam_Score])</f>
        <v>-0.23854745000101177</v>
      </c>
      <c r="Q73" t="s">
        <v>90</v>
      </c>
    </row>
    <row r="74" spans="14:20">
      <c r="N74" s="12" t="s">
        <v>91</v>
      </c>
      <c r="O74" s="11">
        <f>CORREL(Table2[Practice_Test_Score],Table2[Exam_Score])</f>
        <v>0.91807279147340759</v>
      </c>
      <c r="P74" s="11">
        <f>PEARSON(Table2[Practice_Test_Score],Table2[Exam_Score])</f>
        <v>0.91807279147340759</v>
      </c>
      <c r="Q74" t="s">
        <v>84</v>
      </c>
    </row>
    <row r="76" spans="14:20">
      <c r="N76" s="12" t="s">
        <v>92</v>
      </c>
    </row>
    <row r="77" spans="14:20">
      <c r="N77" s="8" t="s">
        <v>93</v>
      </c>
      <c r="O77" s="8" t="s">
        <v>94</v>
      </c>
      <c r="P77" s="13" t="s">
        <v>95</v>
      </c>
    </row>
    <row r="78" spans="14:20">
      <c r="N78" s="14" t="s">
        <v>96</v>
      </c>
      <c r="O78" s="15">
        <f>CORREL(Table2[Study_Hours_Rank],Table2[Exam_Score_Rank])</f>
        <v>0.91337129534186567</v>
      </c>
      <c r="P78" t="s">
        <v>97</v>
      </c>
    </row>
    <row r="79" spans="14:20">
      <c r="N79" s="14" t="s">
        <v>98</v>
      </c>
      <c r="O79" s="16">
        <f>CORREL(Table2[Attendance_Rank],Table2[Exam_Score_Rank])</f>
        <v>4.4921148695908672E-2</v>
      </c>
      <c r="P79" t="s">
        <v>99</v>
      </c>
    </row>
    <row r="80" spans="14:20">
      <c r="N80" s="14" t="s">
        <v>100</v>
      </c>
      <c r="O80" s="15">
        <f>CORREL(Table2[Sleep_Rank],Table2[Exam_Score_Rank])</f>
        <v>0.26165556012792951</v>
      </c>
      <c r="P80" t="s">
        <v>86</v>
      </c>
    </row>
    <row r="81" spans="14:16">
      <c r="N81" s="14" t="s">
        <v>101</v>
      </c>
      <c r="O81" s="15">
        <f>CORREL(Table2[Screen_Time_Rank],Table2[Exam_Score_Rank])</f>
        <v>-0.16838007172194816</v>
      </c>
      <c r="P81" t="s">
        <v>102</v>
      </c>
    </row>
    <row r="82" spans="14:16">
      <c r="N82" s="14" t="s">
        <v>103</v>
      </c>
      <c r="O82" s="15">
        <f>CORREL(Table2[Practice_Test_Rank],Table2[Exam_Score_Rank])</f>
        <v>0.8918285056604307</v>
      </c>
      <c r="P82" t="s">
        <v>97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2026-05-05T06:35:41Z</dcterms:created>
  <dcterms:modified xsi:type="dcterms:W3CDTF">2026-05-05T06:36:05Z</dcterms:modified>
</cp:coreProperties>
</file>