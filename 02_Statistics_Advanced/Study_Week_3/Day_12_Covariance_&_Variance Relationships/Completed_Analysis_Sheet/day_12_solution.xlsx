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D2F105A5-A8E6-4171-BEB9-56A61E3C6A09}" xr6:coauthVersionLast="47" xr6:coauthVersionMax="47" xr10:uidLastSave="{00000000-0000-0000-0000-000000000000}"/>
  <bookViews>
    <workbookView xWindow="-108" yWindow="-108" windowWidth="23256" windowHeight="12456" xr2:uid="{90278418-E0D1-4FC1-98D3-9316C42A276F}"/>
  </bookViews>
  <sheets>
    <sheet name="Day 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1" l="1"/>
  <c r="B63" i="1"/>
  <c r="C62" i="1"/>
  <c r="B62" i="1"/>
  <c r="C59" i="1"/>
  <c r="B59" i="1"/>
  <c r="C58" i="1"/>
  <c r="B58" i="1"/>
  <c r="C55" i="1"/>
  <c r="B55" i="1"/>
  <c r="C54" i="1"/>
  <c r="B54" i="1"/>
  <c r="C53" i="1"/>
  <c r="B53" i="1"/>
  <c r="B48" i="1"/>
  <c r="B47" i="1"/>
  <c r="B44" i="1"/>
  <c r="B43" i="1"/>
  <c r="B40" i="1"/>
  <c r="B39" i="1"/>
  <c r="B38" i="1"/>
  <c r="G33" i="1"/>
  <c r="F33" i="1"/>
  <c r="E33" i="1"/>
  <c r="D33" i="1"/>
  <c r="C33" i="1"/>
  <c r="B33" i="1"/>
  <c r="G32" i="1"/>
  <c r="F32" i="1"/>
  <c r="E32" i="1"/>
  <c r="D32" i="1"/>
  <c r="C32" i="1"/>
  <c r="B32" i="1"/>
</calcChain>
</file>

<file path=xl/sharedStrings.xml><?xml version="1.0" encoding="utf-8"?>
<sst xmlns="http://schemas.openxmlformats.org/spreadsheetml/2006/main" count="78" uniqueCount="66">
  <si>
    <t>DAY 12: Covariance &amp; Variance Relationships</t>
  </si>
  <si>
    <t>Objective</t>
  </si>
  <si>
    <t>Compare how business metrics move together using covariance and variance.</t>
  </si>
  <si>
    <t>Suggested Practice:</t>
  </si>
  <si>
    <t>Attempt the exercises independently before reviewing guided solutions.</t>
  </si>
  <si>
    <t xml:space="preserve"> </t>
  </si>
  <si>
    <t>Month</t>
  </si>
  <si>
    <t>Marketing_Spend</t>
  </si>
  <si>
    <t>Sales_Revenue</t>
  </si>
  <si>
    <t>Website_Traffic</t>
  </si>
  <si>
    <t>Customer_Complaints</t>
  </si>
  <si>
    <t>Units_Sold</t>
  </si>
  <si>
    <t>Discount_Rate_%</t>
  </si>
  <si>
    <t>Jan-2024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</si>
  <si>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</si>
  <si>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</si>
  <si>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</si>
  <si>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</si>
  <si>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</si>
  <si>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</si>
  <si>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</si>
  <si>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</si>
  <si>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</si>
  <si>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</si>
  <si>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</si>
  <si>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</si>
  <si>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</si>
  <si>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</si>
  <si>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</si>
  <si>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</si>
  <si>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</si>
  <si>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</si>
  <si>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</si>
  <si>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</si>
  <si>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</si>
  <si>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VARIANCE</t>
  </si>
  <si>
    <t>STD. DEV.</t>
  </si>
  <si>
    <t>COVARIANCE</t>
  </si>
  <si>
    <t>i) REVENUE DRIVERS</t>
  </si>
  <si>
    <t>Marketing Spend v Sales Rev</t>
  </si>
  <si>
    <t>Website Traffic v Sales Rev.</t>
  </si>
  <si>
    <t>Units Sold v Sales Rev.</t>
  </si>
  <si>
    <t>ii) CUSTOMER/OPERATIONAL IMPACT</t>
  </si>
  <si>
    <t>Units Sold v Customer Compl.</t>
  </si>
  <si>
    <t>Web Traffic v Customer Compl.</t>
  </si>
  <si>
    <t>iii) DISCOUNT EFFECTS</t>
  </si>
  <si>
    <t>Discount Rate v Units Sold</t>
  </si>
  <si>
    <t>Discount Rate v Sales Revenue</t>
  </si>
  <si>
    <t>Relationship</t>
  </si>
  <si>
    <t>Covariance</t>
  </si>
  <si>
    <t>Correlation</t>
  </si>
  <si>
    <t>Insight</t>
  </si>
  <si>
    <t>Strong positive relationship; increased marketing spend closely aligns with higher sales revenue.</t>
  </si>
  <si>
    <t>Strong positive relationship; greater website traffic strongly associates with increased revenue.</t>
  </si>
  <si>
    <t>Very strong positive relationship; sales revenue is heavily driven by units sold.</t>
  </si>
  <si>
    <t>Moderate negative relationship; increased sales volume does not increase complaints and may align with improved operations.</t>
  </si>
  <si>
    <t>Moderate negative relationship; higher traffic does not correspond with more complaints.</t>
  </si>
  <si>
    <t>Moderate positive relationship; discounts appear to stimulate sales volume.</t>
  </si>
  <si>
    <t>Moderate positive relationship; discounts may contribute positively to revenue generation despite reduced pricing.</t>
  </si>
  <si>
    <t>METRIC</t>
  </si>
  <si>
    <t>Marketing Spend</t>
  </si>
  <si>
    <t>Sales Revenue</t>
  </si>
  <si>
    <t>Website Traffic</t>
  </si>
  <si>
    <t>Customer Complaint</t>
  </si>
  <si>
    <t>Units Sold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</si>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</sst>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>
    <font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2" fontId="0" fillId="0" borderId="0" xfId="0" applyNumberFormat="1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</cellXfs>
  <cellStyles count="2">
    <cellStyle name="Comma" xfId="1" builtinId="3"/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33BBFC-39D9-4B7E-B451-186A5BA625E2}" name="Table3" displayName="Table3" ref="A5:G29" totalsRowShown="0" headerRowDxfId="8" dataDxfId="7">
  <autoFilter ref="A5:G29" xr:uid="{91A9A9B3-C2C7-492F-9B15-226FA2E800F2}"/>
  <tableColumns count="7">
    <tableColumn id="1" xr3:uid="{0E660723-3845-4C84-A03D-851B0DF08788}" name="Month" dataDxfId="6"/>
    <tableColumn id="2" xr3:uid="{E576AB7F-A6C3-4C85-AA7D-4272C097E4E7}" name="Marketing_Spend" dataDxfId="5"/>
    <tableColumn id="3" xr3:uid="{8FB541E9-0FEC-4F09-8E1B-9653EE0C55A7}" name="Sales_Revenue" dataDxfId="4"/>
    <tableColumn id="4" xr3:uid="{F7D59D1B-70F5-4196-AF9D-9BD4334AA08A}" name="Website_Traffic" dataDxfId="3"/>
    <tableColumn id="5" xr3:uid="{3580CB84-57D1-4ACA-B3EE-A7CBCFC30DCF}" name="Customer_Complaints" dataDxfId="2"/>
    <tableColumn id="6" xr3:uid="{9FA27641-E7E1-4999-A2F4-538246B72237}" name="Units_Sold" dataDxfId="1"/>
    <tableColumn id="7" xr3:uid="{A7337C89-63ED-41BF-B97B-D487114B0B5E}" name="Discount_Rate_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81D3-6FAC-4A55-A97D-0F55E660103C}">
  <dimension ref="A1:J63"/>
  <sheetViews>
    <sheetView tabSelected="1" topLeftCell="A40" workbookViewId="0">
      <selection activeCell="A67" sqref="A67"/>
    </sheetView>
  </sheetViews>
  <sheetFormatPr defaultRowHeight="13.8"/>
  <cols>
    <col min="1" max="1" width="25.296875" customWidth="1"/>
    <col min="2" max="4" width="20" customWidth="1"/>
    <col min="5" max="5" width="22.09765625" customWidth="1"/>
    <col min="6" max="7" width="20" customWidth="1"/>
  </cols>
  <sheetData>
    <row r="1" spans="1:7" ht="17.399999999999999">
      <c r="A1" s="1" t="s">
        <v>0</v>
      </c>
      <c r="B1" s="2"/>
      <c r="C1" s="2"/>
      <c r="D1" s="2"/>
      <c r="E1" s="2"/>
      <c r="F1" s="2"/>
      <c r="G1" s="2"/>
    </row>
    <row r="2" spans="1:7" ht="69">
      <c r="A2" s="3" t="s">
        <v>1</v>
      </c>
      <c r="B2" s="3" t="s">
        <v>2</v>
      </c>
      <c r="C2" s="4"/>
      <c r="D2" s="4"/>
      <c r="E2" s="4"/>
      <c r="F2" s="4"/>
      <c r="G2" s="4"/>
    </row>
    <row r="3" spans="1:7" ht="69">
      <c r="A3" s="3" t="s">
        <v>3</v>
      </c>
      <c r="B3" s="3" t="s">
        <v>4</v>
      </c>
      <c r="C3" s="4" t="s">
        <v>5</v>
      </c>
      <c r="D3" s="4"/>
      <c r="E3" s="4"/>
      <c r="F3" s="4"/>
      <c r="G3" s="4"/>
    </row>
    <row r="4" spans="1:7">
      <c r="A4" s="5"/>
      <c r="B4" s="5"/>
      <c r="C4" s="4"/>
      <c r="D4" s="4"/>
      <c r="E4" s="4"/>
      <c r="F4" s="4"/>
      <c r="G4" s="4"/>
    </row>
    <row r="5" spans="1:7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</row>
    <row r="6" spans="1:7">
      <c r="A6" s="4" t="s">
        <v>13</v>
      </c>
      <c r="B6" s="4">
        <v>12899</v>
      </c>
      <c r="C6" s="4">
        <v>125505.2</v>
      </c>
      <c r="D6" s="4">
        <v>16179</v>
      </c>
      <c r="E6" s="4">
        <v>41</v>
      </c>
      <c r="F6" s="4">
        <v>985</v>
      </c>
      <c r="G6" s="4">
        <v>15</v>
      </c>
    </row>
    <row r="7" spans="1:7">
      <c r="A7" s="4" t="s">
        <v>13</v>
      </c>
      <c r="B7" s="4">
        <v>12923</v>
      </c>
      <c r="C7" s="4">
        <v>127583.4</v>
      </c>
      <c r="D7" s="4">
        <v>18789</v>
      </c>
      <c r="E7" s="4">
        <v>38</v>
      </c>
      <c r="F7" s="4">
        <v>997</v>
      </c>
      <c r="G7" s="4">
        <v>10</v>
      </c>
    </row>
    <row r="8" spans="1:7">
      <c r="A8" s="4" t="s">
        <v>14</v>
      </c>
      <c r="B8" s="4">
        <v>13553</v>
      </c>
      <c r="C8" s="4">
        <v>131167.4</v>
      </c>
      <c r="D8" s="4">
        <v>20760</v>
      </c>
      <c r="E8" s="4">
        <v>40</v>
      </c>
      <c r="F8" s="4">
        <v>931</v>
      </c>
      <c r="G8" s="4">
        <v>5</v>
      </c>
    </row>
    <row r="9" spans="1:7">
      <c r="A9" s="4" t="s">
        <v>14</v>
      </c>
      <c r="B9" s="4">
        <v>14122</v>
      </c>
      <c r="C9" s="4">
        <v>137876.6</v>
      </c>
      <c r="D9" s="4">
        <v>21989</v>
      </c>
      <c r="E9" s="4">
        <v>38</v>
      </c>
      <c r="F9" s="4">
        <v>1012</v>
      </c>
      <c r="G9" s="4">
        <v>15</v>
      </c>
    </row>
    <row r="10" spans="1:7">
      <c r="A10" s="4" t="s">
        <v>15</v>
      </c>
      <c r="B10" s="4">
        <v>13974</v>
      </c>
      <c r="C10" s="4">
        <v>136307.20000000001</v>
      </c>
      <c r="D10" s="4">
        <v>21758</v>
      </c>
      <c r="E10" s="4">
        <v>39</v>
      </c>
      <c r="F10" s="4">
        <v>924</v>
      </c>
      <c r="G10" s="4">
        <v>5</v>
      </c>
    </row>
    <row r="11" spans="1:7">
      <c r="A11" s="4" t="s">
        <v>16</v>
      </c>
      <c r="B11" s="4">
        <v>14755</v>
      </c>
      <c r="C11" s="4">
        <v>131175</v>
      </c>
      <c r="D11" s="4">
        <v>21033</v>
      </c>
      <c r="E11" s="4">
        <v>38</v>
      </c>
      <c r="F11" s="4">
        <v>968</v>
      </c>
      <c r="G11" s="4">
        <v>5</v>
      </c>
    </row>
    <row r="12" spans="1:7">
      <c r="A12" s="4" t="s">
        <v>17</v>
      </c>
      <c r="B12" s="4">
        <v>14075</v>
      </c>
      <c r="C12" s="4">
        <v>147023</v>
      </c>
      <c r="D12" s="4">
        <v>23870</v>
      </c>
      <c r="E12" s="4">
        <v>41</v>
      </c>
      <c r="F12" s="4">
        <v>987</v>
      </c>
      <c r="G12" s="4">
        <v>5</v>
      </c>
    </row>
    <row r="13" spans="1:7">
      <c r="A13" s="4" t="s">
        <v>18</v>
      </c>
      <c r="B13" s="4">
        <v>16541</v>
      </c>
      <c r="C13" s="4">
        <v>160038.79999999999</v>
      </c>
      <c r="D13" s="4">
        <v>22786</v>
      </c>
      <c r="E13" s="4">
        <v>49</v>
      </c>
      <c r="F13" s="4">
        <v>1032</v>
      </c>
      <c r="G13" s="4">
        <v>12</v>
      </c>
    </row>
    <row r="14" spans="1:7">
      <c r="A14" s="4" t="s">
        <v>19</v>
      </c>
      <c r="B14" s="4">
        <v>17277</v>
      </c>
      <c r="C14" s="4">
        <v>160704.6</v>
      </c>
      <c r="D14" s="4">
        <v>24722</v>
      </c>
      <c r="E14" s="4">
        <v>38</v>
      </c>
      <c r="F14" s="4">
        <v>1166</v>
      </c>
      <c r="G14" s="4">
        <v>15</v>
      </c>
    </row>
    <row r="15" spans="1:7">
      <c r="A15" s="4" t="s">
        <v>20</v>
      </c>
      <c r="B15" s="4">
        <v>15610</v>
      </c>
      <c r="C15" s="4">
        <v>153172</v>
      </c>
      <c r="D15" s="4">
        <v>24016</v>
      </c>
      <c r="E15" s="4">
        <v>49</v>
      </c>
      <c r="F15" s="4">
        <v>1066</v>
      </c>
      <c r="G15" s="4">
        <v>5</v>
      </c>
    </row>
    <row r="16" spans="1:7">
      <c r="A16" s="4" t="s">
        <v>21</v>
      </c>
      <c r="B16" s="4">
        <v>18071</v>
      </c>
      <c r="C16" s="4">
        <v>182110.8</v>
      </c>
      <c r="D16" s="4">
        <v>25527</v>
      </c>
      <c r="E16" s="4">
        <v>37</v>
      </c>
      <c r="F16" s="4">
        <v>1127</v>
      </c>
      <c r="G16" s="4">
        <v>12</v>
      </c>
    </row>
    <row r="17" spans="1:7">
      <c r="A17" s="4" t="s">
        <v>22</v>
      </c>
      <c r="B17" s="4">
        <v>17915</v>
      </c>
      <c r="C17" s="4">
        <v>157255</v>
      </c>
      <c r="D17" s="4">
        <v>25303</v>
      </c>
      <c r="E17" s="4">
        <v>42</v>
      </c>
      <c r="F17" s="4">
        <v>1122</v>
      </c>
      <c r="G17" s="4">
        <v>15</v>
      </c>
    </row>
    <row r="18" spans="1:7">
      <c r="A18" s="4" t="s">
        <v>23</v>
      </c>
      <c r="B18" s="4">
        <v>19277</v>
      </c>
      <c r="C18" s="4">
        <v>183820.6</v>
      </c>
      <c r="D18" s="4">
        <v>27406</v>
      </c>
      <c r="E18" s="4">
        <v>41</v>
      </c>
      <c r="F18" s="4">
        <v>1282</v>
      </c>
      <c r="G18" s="4">
        <v>20</v>
      </c>
    </row>
    <row r="19" spans="1:7">
      <c r="A19" s="4" t="s">
        <v>24</v>
      </c>
      <c r="B19" s="4">
        <v>19309</v>
      </c>
      <c r="C19" s="4">
        <v>184599.2</v>
      </c>
      <c r="D19" s="4">
        <v>28919</v>
      </c>
      <c r="E19" s="4">
        <v>36</v>
      </c>
      <c r="F19" s="4">
        <v>1189</v>
      </c>
      <c r="G19" s="4">
        <v>15</v>
      </c>
    </row>
    <row r="20" spans="1:7">
      <c r="A20" s="4" t="s">
        <v>25</v>
      </c>
      <c r="B20" s="4">
        <v>18497</v>
      </c>
      <c r="C20" s="4">
        <v>188776.6</v>
      </c>
      <c r="D20" s="4">
        <v>26483</v>
      </c>
      <c r="E20" s="4">
        <v>48</v>
      </c>
      <c r="F20" s="4">
        <v>1259</v>
      </c>
      <c r="G20" s="4">
        <v>10</v>
      </c>
    </row>
    <row r="21" spans="1:7">
      <c r="A21" s="4" t="s">
        <v>26</v>
      </c>
      <c r="B21" s="4">
        <v>20770</v>
      </c>
      <c r="C21" s="4">
        <v>190049</v>
      </c>
      <c r="D21" s="4">
        <v>26030</v>
      </c>
      <c r="E21" s="4">
        <v>35</v>
      </c>
      <c r="F21" s="4">
        <v>1263</v>
      </c>
      <c r="G21" s="4">
        <v>10</v>
      </c>
    </row>
    <row r="22" spans="1:7">
      <c r="A22" s="4" t="s">
        <v>27</v>
      </c>
      <c r="B22" s="4">
        <v>21498</v>
      </c>
      <c r="C22" s="4">
        <v>197883.4</v>
      </c>
      <c r="D22" s="4">
        <v>30739</v>
      </c>
      <c r="E22" s="4">
        <v>42</v>
      </c>
      <c r="F22" s="4">
        <v>1328</v>
      </c>
      <c r="G22" s="4">
        <v>18</v>
      </c>
    </row>
    <row r="23" spans="1:7">
      <c r="A23" s="4" t="s">
        <v>28</v>
      </c>
      <c r="B23" s="4">
        <v>21679</v>
      </c>
      <c r="C23" s="4">
        <v>214215.2</v>
      </c>
      <c r="D23" s="4">
        <v>28012</v>
      </c>
      <c r="E23" s="4">
        <v>43</v>
      </c>
      <c r="F23" s="4">
        <v>1455</v>
      </c>
      <c r="G23" s="4">
        <v>15</v>
      </c>
    </row>
    <row r="24" spans="1:7">
      <c r="A24" s="4" t="s">
        <v>29</v>
      </c>
      <c r="B24" s="4">
        <v>21006</v>
      </c>
      <c r="C24" s="4">
        <v>225042.8</v>
      </c>
      <c r="D24" s="4">
        <v>30595</v>
      </c>
      <c r="E24" s="4">
        <v>25</v>
      </c>
      <c r="F24" s="4">
        <v>1491</v>
      </c>
      <c r="G24" s="4">
        <v>8</v>
      </c>
    </row>
    <row r="25" spans="1:7">
      <c r="A25" s="4" t="s">
        <v>30</v>
      </c>
      <c r="B25" s="4">
        <v>22380</v>
      </c>
      <c r="C25" s="4">
        <v>209912</v>
      </c>
      <c r="D25" s="4">
        <v>28555</v>
      </c>
      <c r="E25" s="4">
        <v>36</v>
      </c>
      <c r="F25" s="4">
        <v>1400</v>
      </c>
      <c r="G25" s="4">
        <v>18</v>
      </c>
    </row>
    <row r="26" spans="1:7">
      <c r="A26" s="4" t="s">
        <v>31</v>
      </c>
      <c r="B26" s="4">
        <v>21683</v>
      </c>
      <c r="C26" s="4">
        <v>219284.4</v>
      </c>
      <c r="D26" s="4">
        <v>32273</v>
      </c>
      <c r="E26" s="4">
        <v>36</v>
      </c>
      <c r="F26" s="4">
        <v>1460</v>
      </c>
      <c r="G26" s="4">
        <v>5</v>
      </c>
    </row>
    <row r="27" spans="1:7">
      <c r="A27" s="4" t="s">
        <v>32</v>
      </c>
      <c r="B27" s="4">
        <v>22137</v>
      </c>
      <c r="C27" s="4">
        <v>218224.6</v>
      </c>
      <c r="D27" s="4">
        <v>30221</v>
      </c>
      <c r="E27" s="4">
        <v>40</v>
      </c>
      <c r="F27" s="4">
        <v>1407</v>
      </c>
      <c r="G27" s="4">
        <v>12</v>
      </c>
    </row>
    <row r="28" spans="1:7">
      <c r="A28" s="4" t="s">
        <v>33</v>
      </c>
      <c r="B28" s="4">
        <v>24605</v>
      </c>
      <c r="C28" s="4">
        <v>226556</v>
      </c>
      <c r="D28" s="4">
        <v>31909</v>
      </c>
      <c r="E28" s="4">
        <v>23</v>
      </c>
      <c r="F28" s="4">
        <v>1570</v>
      </c>
      <c r="G28" s="4">
        <v>15</v>
      </c>
    </row>
    <row r="29" spans="1:7">
      <c r="A29" s="4" t="s">
        <v>34</v>
      </c>
      <c r="B29" s="4">
        <v>23438</v>
      </c>
      <c r="C29" s="4">
        <v>246425.4</v>
      </c>
      <c r="D29" s="4">
        <v>31161</v>
      </c>
      <c r="E29" s="4">
        <v>39</v>
      </c>
      <c r="F29" s="4">
        <v>1606</v>
      </c>
      <c r="G29" s="4">
        <v>18</v>
      </c>
    </row>
    <row r="30" spans="1:7">
      <c r="A30" s="4"/>
      <c r="B30" s="4"/>
      <c r="C30" s="4"/>
      <c r="D30" s="4"/>
      <c r="E30" s="4"/>
      <c r="F30" s="4"/>
      <c r="G30" s="4"/>
    </row>
    <row r="31" spans="1:7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63</v>
      </c>
      <c r="F31" s="11" t="s">
        <v>64</v>
      </c>
      <c r="G31" s="11" t="s">
        <v>65</v>
      </c>
    </row>
    <row r="32" spans="1:7">
      <c r="A32" s="11" t="s">
        <v>35</v>
      </c>
      <c r="B32">
        <f>_xlfn.VAR.S(Table3[Marketing_Spend])</f>
        <v>13250723.934782609</v>
      </c>
      <c r="C32">
        <f>_xlfn.VAR.S(Table3[Sales_Revenue])</f>
        <v>1361012880.8207955</v>
      </c>
      <c r="D32">
        <f>_xlfn.VAR.S(Table3[Website_Traffic])</f>
        <v>19060002.114130434</v>
      </c>
      <c r="E32" s="7">
        <f>_xlfn.VAR.S(Table3[Customer_Complaints])</f>
        <v>36.166666666666771</v>
      </c>
      <c r="F32" s="7">
        <f>_xlfn.VAR.S(Table3[Units_Sold])</f>
        <v>46073.041666666773</v>
      </c>
      <c r="G32" s="7">
        <f>_xlfn.VAR.S(Table3[Discount_Rate_%])</f>
        <v>24.17210144927537</v>
      </c>
    </row>
    <row r="33" spans="1:7">
      <c r="A33" s="11" t="s">
        <v>36</v>
      </c>
      <c r="B33" s="7">
        <f>_xlfn.STDEV.S(Table3[Marketing_Spend])</f>
        <v>3640.1543833720307</v>
      </c>
      <c r="C33" s="7">
        <f>_xlfn.STDEV.S(Table3[Sales_Revenue])</f>
        <v>36891.908066956843</v>
      </c>
      <c r="D33" s="7">
        <f>_xlfn.STDEV.S(Table3[Website_Traffic])</f>
        <v>4365.776232713999</v>
      </c>
      <c r="E33" s="7">
        <f>_xlfn.STDEV.S(Table3[Customer_Complaints])</f>
        <v>6.0138728508895802</v>
      </c>
      <c r="F33" s="7">
        <f>_xlfn.STDEV.S(Table3[Units_Sold])</f>
        <v>214.64631761729987</v>
      </c>
      <c r="G33" s="7">
        <f>_xlfn.STDEV.S(Table3[Discount_Rate_%])</f>
        <v>4.9165131393372041</v>
      </c>
    </row>
    <row r="36" spans="1:7">
      <c r="A36" t="s">
        <v>37</v>
      </c>
    </row>
    <row r="37" spans="1:7">
      <c r="A37" t="s">
        <v>38</v>
      </c>
    </row>
    <row r="38" spans="1:7">
      <c r="A38" t="s">
        <v>39</v>
      </c>
      <c r="B38" s="8">
        <f>_xlfn.COVARIANCE.S(Table3[Marketing_Spend],Table3[Sales_Revenue])</f>
        <v>129715621.20217393</v>
      </c>
    </row>
    <row r="39" spans="1:7">
      <c r="A39" t="s">
        <v>40</v>
      </c>
      <c r="B39" s="8">
        <f>_xlfn.COVARIANCE.S(Table3[Website_Traffic],Table3[Sales_Revenue])</f>
        <v>150674815.27282608</v>
      </c>
    </row>
    <row r="40" spans="1:7">
      <c r="A40" t="s">
        <v>41</v>
      </c>
      <c r="B40" s="8">
        <f>_xlfn.COVARIANCE.S(Table3[Units_Sold],Table3[Sales_Revenue])</f>
        <v>7717528.8525362322</v>
      </c>
    </row>
    <row r="41" spans="1:7">
      <c r="B41" s="8"/>
    </row>
    <row r="42" spans="1:7">
      <c r="A42" t="s">
        <v>42</v>
      </c>
      <c r="B42" s="8"/>
    </row>
    <row r="43" spans="1:7">
      <c r="A43" t="s">
        <v>43</v>
      </c>
      <c r="B43" s="8">
        <f>_xlfn.COVARIANCE.S(Table3[Units_Sold],Table3[Customer_Complaints])</f>
        <v>-558.43840579710138</v>
      </c>
    </row>
    <row r="44" spans="1:7">
      <c r="A44" t="s">
        <v>44</v>
      </c>
      <c r="B44" s="8">
        <f>_xlfn.COVARIANCE.S(Table3[Website_Traffic],Table3[Customer_Complaints])</f>
        <v>-9817.5543478260861</v>
      </c>
    </row>
    <row r="45" spans="1:7">
      <c r="B45" s="8"/>
    </row>
    <row r="46" spans="1:7">
      <c r="A46" t="s">
        <v>45</v>
      </c>
      <c r="B46" s="8"/>
    </row>
    <row r="47" spans="1:7">
      <c r="A47" t="s">
        <v>46</v>
      </c>
      <c r="B47" s="8">
        <f>_xlfn.COVARIANCE.S(Table3[Discount_Rate_%],Table3[Units_Sold])</f>
        <v>454.36050724637681</v>
      </c>
    </row>
    <row r="48" spans="1:7">
      <c r="A48" t="s">
        <v>47</v>
      </c>
      <c r="B48" s="8">
        <f>_xlfn.COVARIANCE.S(Table3[Discount_Rate_%],Table3[Sales_Revenue])</f>
        <v>67936.101811594213</v>
      </c>
    </row>
    <row r="51" spans="1:10">
      <c r="A51" s="9" t="s">
        <v>48</v>
      </c>
      <c r="B51" s="9" t="s">
        <v>49</v>
      </c>
      <c r="C51" s="9" t="s">
        <v>50</v>
      </c>
      <c r="D51" s="9" t="s">
        <v>51</v>
      </c>
    </row>
    <row r="52" spans="1:10">
      <c r="A52" t="s">
        <v>38</v>
      </c>
    </row>
    <row r="53" spans="1:10">
      <c r="A53" t="s">
        <v>39</v>
      </c>
      <c r="B53" s="8">
        <f>_xlfn.COVARIANCE.S(Table3[Marketing_Spend],Table3[Sales_Revenue])</f>
        <v>129715621.20217393</v>
      </c>
      <c r="C53" s="7">
        <f>CORREL(Table3[Marketing_Spend],Table3[Sales_Revenue])</f>
        <v>0.96592044611529093</v>
      </c>
      <c r="D53" s="10" t="s">
        <v>52</v>
      </c>
      <c r="E53" s="10"/>
      <c r="F53" s="10"/>
      <c r="G53" s="10"/>
    </row>
    <row r="54" spans="1:10">
      <c r="A54" t="s">
        <v>40</v>
      </c>
      <c r="B54" s="8">
        <f>_xlfn.COVARIANCE.S(Table3[Website_Traffic],Table3[Sales_Revenue])</f>
        <v>150674815.27282608</v>
      </c>
      <c r="C54" s="7">
        <f>CORREL(Table3[Website_Traffic],Table3[Sales_Revenue])</f>
        <v>0.93550923216409398</v>
      </c>
      <c r="D54" s="10" t="s">
        <v>53</v>
      </c>
      <c r="E54" s="10"/>
      <c r="F54" s="10"/>
      <c r="G54" s="10"/>
    </row>
    <row r="55" spans="1:10">
      <c r="A55" t="s">
        <v>41</v>
      </c>
      <c r="B55" s="8">
        <f>_xlfn.COVARIANCE.S(Table3[Units_Sold],Table3[Sales_Revenue])</f>
        <v>7717528.8525362322</v>
      </c>
      <c r="C55" s="7">
        <f>CORREL(Table3[Units_Sold],Table3[Sales_Revenue])</f>
        <v>0.97459392911209419</v>
      </c>
      <c r="D55" s="10" t="s">
        <v>54</v>
      </c>
      <c r="E55" s="10"/>
      <c r="F55" s="10"/>
      <c r="G55" s="10"/>
    </row>
    <row r="56" spans="1:10">
      <c r="B56" s="8"/>
      <c r="C56" s="7"/>
    </row>
    <row r="57" spans="1:10">
      <c r="A57" t="s">
        <v>42</v>
      </c>
      <c r="B57" s="8"/>
      <c r="C57" s="7"/>
    </row>
    <row r="58" spans="1:10">
      <c r="A58" t="s">
        <v>43</v>
      </c>
      <c r="B58" s="8">
        <f>_xlfn.COVARIANCE.S(Table3[Units_Sold],Table3[Customer_Complaints])</f>
        <v>-558.43840579710138</v>
      </c>
      <c r="C58" s="7">
        <f>CORREL(Table3[Units_Sold],Table3[Customer_Complaints])</f>
        <v>-0.4326110363919502</v>
      </c>
      <c r="D58" s="10" t="s">
        <v>55</v>
      </c>
      <c r="E58" s="10"/>
      <c r="F58" s="10"/>
      <c r="G58" s="10"/>
      <c r="H58" s="10"/>
      <c r="I58" s="10"/>
      <c r="J58" s="10"/>
    </row>
    <row r="59" spans="1:10">
      <c r="A59" t="s">
        <v>44</v>
      </c>
      <c r="B59" s="8">
        <f>_xlfn.COVARIANCE.S(Table3[Website_Traffic],Table3[Customer_Complaints])</f>
        <v>-9817.5543478260861</v>
      </c>
      <c r="C59" s="7">
        <f>CORREL(Table3[Website_Traffic],Table3[Customer_Complaints])</f>
        <v>-0.37392766720663306</v>
      </c>
      <c r="D59" s="10" t="s">
        <v>56</v>
      </c>
      <c r="E59" s="10"/>
      <c r="F59" s="10"/>
      <c r="G59" s="10"/>
    </row>
    <row r="60" spans="1:10">
      <c r="B60" s="8"/>
      <c r="C60" s="7"/>
    </row>
    <row r="61" spans="1:10">
      <c r="A61" t="s">
        <v>45</v>
      </c>
      <c r="B61" s="8"/>
      <c r="C61" s="7"/>
    </row>
    <row r="62" spans="1:10">
      <c r="A62" t="s">
        <v>46</v>
      </c>
      <c r="B62" s="8">
        <f>_xlfn.COVARIANCE.S(Table3[Discount_Rate_%],Table3[Units_Sold])</f>
        <v>454.36050724637681</v>
      </c>
      <c r="C62" s="7">
        <f>CORREL(Table3[Discount_Rate_%],Table3[Units_Sold])</f>
        <v>0.4305463673067963</v>
      </c>
      <c r="D62" s="10" t="s">
        <v>57</v>
      </c>
      <c r="E62" s="10"/>
      <c r="F62" s="10"/>
    </row>
    <row r="63" spans="1:10">
      <c r="A63" t="s">
        <v>47</v>
      </c>
      <c r="B63" s="8">
        <f>_xlfn.COVARIANCE.S(Table3[Discount_Rate_%],Table3[Sales_Revenue])</f>
        <v>67936.101811594213</v>
      </c>
      <c r="C63" s="7">
        <f>CORREL(Table3[Discount_Rate_%],Table3[Sales_Revenue])</f>
        <v>0.37455215613901011</v>
      </c>
      <c r="D63" s="10" t="s">
        <v>58</v>
      </c>
      <c r="E63" s="10"/>
      <c r="F63" s="10"/>
      <c r="G63" s="10"/>
      <c r="H63" s="10"/>
    </row>
  </sheetData>
  <mergeCells count="7">
    <mergeCell ref="D63:H63"/>
    <mergeCell ref="D53:G53"/>
    <mergeCell ref="D54:G54"/>
    <mergeCell ref="D55:G55"/>
    <mergeCell ref="D58:J58"/>
    <mergeCell ref="D59:G59"/>
    <mergeCell ref="D62:F6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2026-05-05T13:06:12Z</dcterms:created>
  <dcterms:modified xsi:type="dcterms:W3CDTF">2026-05-05T13:18:23Z</dcterms:modified>
</cp:coreProperties>
</file>