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1ac04eec9a4d31/Documents/"/>
    </mc:Choice>
  </mc:AlternateContent>
  <xr:revisionPtr revIDLastSave="0" documentId="8_{B4A98BFF-CB39-4EB7-804C-8DDFC4C380EF}" xr6:coauthVersionLast="47" xr6:coauthVersionMax="47" xr10:uidLastSave="{00000000-0000-0000-0000-000000000000}"/>
  <bookViews>
    <workbookView xWindow="-108" yWindow="-108" windowWidth="23256" windowHeight="12456" xr2:uid="{394CF07A-C896-41F7-84B7-DA8CE3C0DE65}"/>
  </bookViews>
  <sheets>
    <sheet name="Day 1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7" i="1" l="1"/>
  <c r="F67" i="1" s="1"/>
  <c r="D67" i="1" a="1"/>
  <c r="D67" i="1" s="1"/>
  <c r="G67" i="1" s="1"/>
  <c r="H67" i="1" s="1"/>
  <c r="C67" i="1"/>
  <c r="F66" i="1"/>
  <c r="E66" i="1"/>
  <c r="D66" i="1" a="1"/>
  <c r="D66" i="1" s="1"/>
  <c r="G66" i="1" s="1"/>
  <c r="H66" i="1" s="1"/>
  <c r="C66" i="1"/>
  <c r="F65" i="1"/>
  <c r="E65" i="1"/>
  <c r="D65" i="1"/>
  <c r="G65" i="1" s="1"/>
  <c r="H65" i="1" s="1"/>
  <c r="D65" i="1" a="1"/>
  <c r="C65" i="1"/>
  <c r="E64" i="1"/>
  <c r="F64" i="1" s="1"/>
  <c r="D64" i="1" a="1"/>
  <c r="D64" i="1" s="1"/>
  <c r="G64" i="1" s="1"/>
  <c r="H64" i="1" s="1"/>
  <c r="I64" i="1" s="1"/>
  <c r="C64" i="1"/>
  <c r="F63" i="1"/>
  <c r="E63" i="1"/>
  <c r="D63" i="1"/>
  <c r="G63" i="1" s="1"/>
  <c r="H63" i="1" s="1"/>
  <c r="D63" i="1" a="1"/>
  <c r="C63" i="1"/>
  <c r="E62" i="1"/>
  <c r="F62" i="1" s="1"/>
  <c r="D62" i="1" s="1" a="1"/>
  <c r="D62" i="1" s="1"/>
  <c r="G62" i="1" s="1"/>
  <c r="H62" i="1" s="1"/>
  <c r="C62" i="1"/>
  <c r="J62" i="1" l="1"/>
  <c r="J63" i="1"/>
  <c r="J65" i="1"/>
  <c r="J64" i="1"/>
  <c r="J66" i="1"/>
  <c r="J67" i="1"/>
  <c r="I65" i="1"/>
  <c r="I62" i="1"/>
  <c r="I66" i="1"/>
  <c r="I63" i="1"/>
  <c r="I6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<sst xmlns="http://schemas.openxmlformats.org/spreadsheetml/2006/main" count="184" uniqueCount="84">
  <si>
    <t>DAY 14: Confidence Intervals</t>
  </si>
  <si>
    <t>Objective</t>
  </si>
  <si>
    <t>Estimate a realistic range for population metrics using sample data.</t>
  </si>
  <si>
    <t>Suggested Practice:</t>
  </si>
  <si>
    <t>Attempt the exercises independently before reviewing guided solutions.</t>
  </si>
  <si>
    <t>Employee_ID</t>
  </si>
  <si>
    <t>Department</t>
  </si>
  <si>
    <t>Monthly_Income</t>
  </si>
  <si>
    <t>Years_Experience</t>
  </si>
  <si>
    <t>Performance_Rating</t>
  </si>
  <si>
    <t>Sample_Group</t>
  </si>
  <si>
    <t>EMP-001</t>
  </si>
  <si>
    <t>Operations</t>
  </si>
  <si>
    <t>Sample A</t>
  </si>
  <si>
    <t>EMP-002</t>
  </si>
  <si>
    <t>EMP-003</t>
  </si>
  <si>
    <t>IT</t>
  </si>
  <si>
    <t>EMP-004</t>
  </si>
  <si>
    <t>Sales</t>
  </si>
  <si>
    <t>EMP-005</t>
  </si>
  <si>
    <t>Finance</t>
  </si>
  <si>
    <t>EMP-006</t>
  </si>
  <si>
    <t>EMP-007</t>
  </si>
  <si>
    <t>EMP-008</t>
  </si>
  <si>
    <t>EMP-009</t>
  </si>
  <si>
    <t>EMP-010</t>
  </si>
  <si>
    <t>HR</t>
  </si>
  <si>
    <t>EMP-011</t>
  </si>
  <si>
    <t>EMP-012</t>
  </si>
  <si>
    <t>EMP-013</t>
  </si>
  <si>
    <t>EMP-014</t>
  </si>
  <si>
    <t>EMP-015</t>
  </si>
  <si>
    <t>EMP-016</t>
  </si>
  <si>
    <t>EMP-017</t>
  </si>
  <si>
    <t>EMP-018</t>
  </si>
  <si>
    <t>EMP-019</t>
  </si>
  <si>
    <t>EMP-020</t>
  </si>
  <si>
    <t>EMP-021</t>
  </si>
  <si>
    <t>EMP-022</t>
  </si>
  <si>
    <t>EMP-023</t>
  </si>
  <si>
    <t>EMP-024</t>
  </si>
  <si>
    <t>EMP-025</t>
  </si>
  <si>
    <t>EMP-026</t>
  </si>
  <si>
    <t>Sample B</t>
  </si>
  <si>
    <t>EMP-027</t>
  </si>
  <si>
    <t>EMP-028</t>
  </si>
  <si>
    <t>EMP-029</t>
  </si>
  <si>
    <t>EMP-030</t>
  </si>
  <si>
    <t>EMP-031</t>
  </si>
  <si>
    <t>EMP-032</t>
  </si>
  <si>
    <t>EMP-033</t>
  </si>
  <si>
    <t>EMP-034</t>
  </si>
  <si>
    <t>EMP-035</t>
  </si>
  <si>
    <t>EMP-036</t>
  </si>
  <si>
    <t>EMP-037</t>
  </si>
  <si>
    <t>EMP-038</t>
  </si>
  <si>
    <t>EMP-039</t>
  </si>
  <si>
    <t>EMP-040</t>
  </si>
  <si>
    <t>EMP-041</t>
  </si>
  <si>
    <t>EMP-042</t>
  </si>
  <si>
    <t>EMP-043</t>
  </si>
  <si>
    <t>EMP-044</t>
  </si>
  <si>
    <t>EMP-045</t>
  </si>
  <si>
    <t>EMP-046</t>
  </si>
  <si>
    <t>EMP-047</t>
  </si>
  <si>
    <t>EMP-048</t>
  </si>
  <si>
    <t>EMP-049</t>
  </si>
  <si>
    <t>EMP-050</t>
  </si>
  <si>
    <t>SOLUTION</t>
  </si>
  <si>
    <t>Metric</t>
  </si>
  <si>
    <t>Sample</t>
  </si>
  <si>
    <t>Mean</t>
  </si>
  <si>
    <t>Std Dev</t>
  </si>
  <si>
    <t>n</t>
  </si>
  <si>
    <t>SQRT.n</t>
  </si>
  <si>
    <t>SE</t>
  </si>
  <si>
    <t>MOE (z=1.96)</t>
  </si>
  <si>
    <t>Lower CI</t>
  </si>
  <si>
    <t>Upper CI</t>
  </si>
  <si>
    <t>Monthly Income</t>
  </si>
  <si>
    <t>A</t>
  </si>
  <si>
    <t>B</t>
  </si>
  <si>
    <t>Years Experience</t>
  </si>
  <si>
    <t>Performance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</si>
</sst>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8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3F0E8D-A768-49BE-8BC2-590BD19F2035}" name="Table5" displayName="Table5" ref="A5:F55" totalsRowShown="0" headerRowDxfId="7" dataDxfId="6">
  <autoFilter ref="A5:F55" xr:uid="{2399D4A5-2555-4DE2-833D-066EFE5913E3}"/>
  <tableColumns count="6">
    <tableColumn id="1" xr3:uid="{947584EA-ADD3-49B1-AE74-018388BA3424}" name="Employee_ID" dataDxfId="5"/>
    <tableColumn id="2" xr3:uid="{A47366BD-1CCC-441D-AB76-0088F51029D5}" name="Department" dataDxfId="4"/>
    <tableColumn id="3" xr3:uid="{7E895816-7C6F-4AA2-8A8C-4A38747EABFE}" name="Monthly_Income" dataDxfId="3"/>
    <tableColumn id="4" xr3:uid="{7EA6DB06-B617-4D1E-8EF4-065FD47D284E}" name="Years_Experience" dataDxfId="2"/>
    <tableColumn id="5" xr3:uid="{7B56D0A5-CE8F-4ED7-AA0F-29AA8FEDE3F4}" name="Performance_Rating" dataDxfId="1"/>
    <tableColumn id="6" xr3:uid="{E24DF032-D300-4575-BB76-B831E121361A}" name="Sample_Grou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79128-8DB6-45C3-8967-676DA7ECCC14}">
  <dimension ref="A1:J67"/>
  <sheetViews>
    <sheetView tabSelected="1" workbookViewId="0">
      <selection activeCell="H61" sqref="H61"/>
    </sheetView>
  </sheetViews>
  <sheetFormatPr defaultRowHeight="13.8"/>
  <cols>
    <col min="1" max="1" width="18" customWidth="1"/>
    <col min="2" max="3" width="20" customWidth="1"/>
    <col min="4" max="4" width="21.19921875" bestFit="1" customWidth="1"/>
    <col min="5" max="5" width="23" bestFit="1" customWidth="1"/>
    <col min="6" max="7" width="20" customWidth="1"/>
    <col min="8" max="8" width="12.19921875" bestFit="1" customWidth="1"/>
  </cols>
  <sheetData>
    <row r="1" spans="1:6" ht="17.399999999999999">
      <c r="A1" s="1" t="s">
        <v>0</v>
      </c>
      <c r="B1" s="2"/>
      <c r="C1" s="2"/>
      <c r="D1" s="2"/>
      <c r="E1" s="2"/>
      <c r="F1" s="2"/>
    </row>
    <row r="2" spans="1:6" ht="55.2">
      <c r="A2" s="3" t="s">
        <v>1</v>
      </c>
      <c r="B2" s="3" t="s">
        <v>2</v>
      </c>
      <c r="C2" s="4"/>
      <c r="D2" s="4"/>
      <c r="E2" s="4"/>
      <c r="F2" s="4"/>
    </row>
    <row r="3" spans="1:6" ht="69">
      <c r="A3" s="3" t="s">
        <v>3</v>
      </c>
      <c r="B3" s="3" t="s">
        <v>4</v>
      </c>
      <c r="C3" s="4"/>
      <c r="D3" s="4"/>
      <c r="E3" s="4"/>
      <c r="F3" s="4"/>
    </row>
    <row r="4" spans="1:6">
      <c r="A4" s="5"/>
      <c r="B4" s="5"/>
      <c r="C4" s="4"/>
      <c r="D4" s="4"/>
      <c r="E4" s="4"/>
      <c r="F4" s="4"/>
    </row>
    <row r="5" spans="1:6">
      <c r="A5" s="6" t="s">
        <v>5</v>
      </c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</row>
    <row r="6" spans="1:6">
      <c r="A6" s="4" t="s">
        <v>11</v>
      </c>
      <c r="B6" s="4" t="s">
        <v>12</v>
      </c>
      <c r="C6" s="4">
        <v>4936</v>
      </c>
      <c r="D6" s="4">
        <v>9</v>
      </c>
      <c r="E6" s="4">
        <v>3</v>
      </c>
      <c r="F6" s="4" t="s">
        <v>13</v>
      </c>
    </row>
    <row r="7" spans="1:6">
      <c r="A7" s="4" t="s">
        <v>14</v>
      </c>
      <c r="B7" s="4" t="s">
        <v>12</v>
      </c>
      <c r="C7" s="4">
        <v>4009</v>
      </c>
      <c r="D7" s="4">
        <v>3</v>
      </c>
      <c r="E7" s="4">
        <v>4</v>
      </c>
      <c r="F7" s="4" t="s">
        <v>13</v>
      </c>
    </row>
    <row r="8" spans="1:6">
      <c r="A8" s="4" t="s">
        <v>15</v>
      </c>
      <c r="B8" s="4" t="s">
        <v>16</v>
      </c>
      <c r="C8" s="4">
        <v>6159</v>
      </c>
      <c r="D8" s="4">
        <v>5</v>
      </c>
      <c r="E8" s="4">
        <v>5</v>
      </c>
      <c r="F8" s="4" t="s">
        <v>13</v>
      </c>
    </row>
    <row r="9" spans="1:6">
      <c r="A9" s="4" t="s">
        <v>17</v>
      </c>
      <c r="B9" s="4" t="s">
        <v>18</v>
      </c>
      <c r="C9" s="4">
        <v>4750</v>
      </c>
      <c r="D9" s="4">
        <v>2</v>
      </c>
      <c r="E9" s="4">
        <v>3</v>
      </c>
      <c r="F9" s="4" t="s">
        <v>13</v>
      </c>
    </row>
    <row r="10" spans="1:6">
      <c r="A10" s="4" t="s">
        <v>19</v>
      </c>
      <c r="B10" s="4" t="s">
        <v>20</v>
      </c>
      <c r="C10" s="4">
        <v>6062</v>
      </c>
      <c r="D10" s="4">
        <v>6</v>
      </c>
      <c r="E10" s="4">
        <v>5</v>
      </c>
      <c r="F10" s="4" t="s">
        <v>13</v>
      </c>
    </row>
    <row r="11" spans="1:6">
      <c r="A11" s="4" t="s">
        <v>21</v>
      </c>
      <c r="B11" s="4" t="s">
        <v>20</v>
      </c>
      <c r="C11" s="4">
        <v>6154</v>
      </c>
      <c r="D11" s="4">
        <v>9</v>
      </c>
      <c r="E11" s="4">
        <v>4</v>
      </c>
      <c r="F11" s="4" t="s">
        <v>13</v>
      </c>
    </row>
    <row r="12" spans="1:6">
      <c r="A12" s="4" t="s">
        <v>22</v>
      </c>
      <c r="B12" s="4" t="s">
        <v>18</v>
      </c>
      <c r="C12" s="4">
        <v>7477</v>
      </c>
      <c r="D12" s="4">
        <v>10</v>
      </c>
      <c r="E12" s="4">
        <v>2</v>
      </c>
      <c r="F12" s="4" t="s">
        <v>13</v>
      </c>
    </row>
    <row r="13" spans="1:6">
      <c r="A13" s="4" t="s">
        <v>23</v>
      </c>
      <c r="B13" s="4" t="s">
        <v>12</v>
      </c>
      <c r="C13" s="4">
        <v>6925</v>
      </c>
      <c r="D13" s="4">
        <v>15</v>
      </c>
      <c r="E13" s="4">
        <v>2</v>
      </c>
      <c r="F13" s="4" t="s">
        <v>13</v>
      </c>
    </row>
    <row r="14" spans="1:6">
      <c r="A14" s="4" t="s">
        <v>24</v>
      </c>
      <c r="B14" s="4" t="s">
        <v>18</v>
      </c>
      <c r="C14" s="4">
        <v>5001</v>
      </c>
      <c r="D14" s="4">
        <v>9</v>
      </c>
      <c r="E14" s="4">
        <v>3</v>
      </c>
      <c r="F14" s="4" t="s">
        <v>13</v>
      </c>
    </row>
    <row r="15" spans="1:6">
      <c r="A15" s="4" t="s">
        <v>25</v>
      </c>
      <c r="B15" s="4" t="s">
        <v>26</v>
      </c>
      <c r="C15" s="4">
        <v>7281</v>
      </c>
      <c r="D15" s="4">
        <v>15</v>
      </c>
      <c r="E15" s="4">
        <v>4</v>
      </c>
      <c r="F15" s="4" t="s">
        <v>13</v>
      </c>
    </row>
    <row r="16" spans="1:6">
      <c r="A16" s="4" t="s">
        <v>27</v>
      </c>
      <c r="B16" s="4" t="s">
        <v>12</v>
      </c>
      <c r="C16" s="4">
        <v>5766</v>
      </c>
      <c r="D16" s="4">
        <v>5</v>
      </c>
      <c r="E16" s="4">
        <v>5</v>
      </c>
      <c r="F16" s="4" t="s">
        <v>13</v>
      </c>
    </row>
    <row r="17" spans="1:6">
      <c r="A17" s="4" t="s">
        <v>28</v>
      </c>
      <c r="B17" s="4" t="s">
        <v>26</v>
      </c>
      <c r="C17" s="4">
        <v>4368</v>
      </c>
      <c r="D17" s="4">
        <v>1</v>
      </c>
      <c r="E17" s="4">
        <v>5</v>
      </c>
      <c r="F17" s="4" t="s">
        <v>13</v>
      </c>
    </row>
    <row r="18" spans="1:6">
      <c r="A18" s="4" t="s">
        <v>29</v>
      </c>
      <c r="B18" s="4" t="s">
        <v>26</v>
      </c>
      <c r="C18" s="4">
        <v>6639</v>
      </c>
      <c r="D18" s="4">
        <v>13</v>
      </c>
      <c r="E18" s="4">
        <v>3</v>
      </c>
      <c r="F18" s="4" t="s">
        <v>13</v>
      </c>
    </row>
    <row r="19" spans="1:6">
      <c r="A19" s="4" t="s">
        <v>30</v>
      </c>
      <c r="B19" s="4" t="s">
        <v>18</v>
      </c>
      <c r="C19" s="4">
        <v>5929</v>
      </c>
      <c r="D19" s="4">
        <v>10</v>
      </c>
      <c r="E19" s="4">
        <v>4</v>
      </c>
      <c r="F19" s="4" t="s">
        <v>13</v>
      </c>
    </row>
    <row r="20" spans="1:6">
      <c r="A20" s="4" t="s">
        <v>31</v>
      </c>
      <c r="B20" s="4" t="s">
        <v>26</v>
      </c>
      <c r="C20" s="4">
        <v>5321</v>
      </c>
      <c r="D20" s="4">
        <v>4</v>
      </c>
      <c r="E20" s="4">
        <v>5</v>
      </c>
      <c r="F20" s="4" t="s">
        <v>13</v>
      </c>
    </row>
    <row r="21" spans="1:6">
      <c r="A21" s="4" t="s">
        <v>32</v>
      </c>
      <c r="B21" s="4" t="s">
        <v>20</v>
      </c>
      <c r="C21" s="4">
        <v>6403</v>
      </c>
      <c r="D21" s="4">
        <v>8</v>
      </c>
      <c r="E21" s="4">
        <v>5</v>
      </c>
      <c r="F21" s="4" t="s">
        <v>13</v>
      </c>
    </row>
    <row r="22" spans="1:6">
      <c r="A22" s="4" t="s">
        <v>33</v>
      </c>
      <c r="B22" s="4" t="s">
        <v>16</v>
      </c>
      <c r="C22" s="4">
        <v>6181</v>
      </c>
      <c r="D22" s="4">
        <v>1</v>
      </c>
      <c r="E22" s="4">
        <v>5</v>
      </c>
      <c r="F22" s="4" t="s">
        <v>13</v>
      </c>
    </row>
    <row r="23" spans="1:6">
      <c r="A23" s="4" t="s">
        <v>34</v>
      </c>
      <c r="B23" s="4" t="s">
        <v>26</v>
      </c>
      <c r="C23" s="4">
        <v>5881</v>
      </c>
      <c r="D23" s="4">
        <v>9</v>
      </c>
      <c r="E23" s="4">
        <v>3</v>
      </c>
      <c r="F23" s="4" t="s">
        <v>13</v>
      </c>
    </row>
    <row r="24" spans="1:6">
      <c r="A24" s="4" t="s">
        <v>35</v>
      </c>
      <c r="B24" s="4" t="s">
        <v>26</v>
      </c>
      <c r="C24" s="4">
        <v>6560</v>
      </c>
      <c r="D24" s="4">
        <v>10</v>
      </c>
      <c r="E24" s="4">
        <v>5</v>
      </c>
      <c r="F24" s="4" t="s">
        <v>13</v>
      </c>
    </row>
    <row r="25" spans="1:6">
      <c r="A25" s="4" t="s">
        <v>36</v>
      </c>
      <c r="B25" s="4" t="s">
        <v>26</v>
      </c>
      <c r="C25" s="4">
        <v>4654</v>
      </c>
      <c r="D25" s="4">
        <v>5</v>
      </c>
      <c r="E25" s="4">
        <v>3</v>
      </c>
      <c r="F25" s="4" t="s">
        <v>13</v>
      </c>
    </row>
    <row r="26" spans="1:6">
      <c r="A26" s="4" t="s">
        <v>37</v>
      </c>
      <c r="B26" s="4" t="s">
        <v>12</v>
      </c>
      <c r="C26" s="4">
        <v>5823</v>
      </c>
      <c r="D26" s="4">
        <v>10</v>
      </c>
      <c r="E26" s="4">
        <v>3</v>
      </c>
      <c r="F26" s="4" t="s">
        <v>13</v>
      </c>
    </row>
    <row r="27" spans="1:6">
      <c r="A27" s="4" t="s">
        <v>38</v>
      </c>
      <c r="B27" s="4" t="s">
        <v>20</v>
      </c>
      <c r="C27" s="4">
        <v>6971</v>
      </c>
      <c r="D27" s="4">
        <v>11</v>
      </c>
      <c r="E27" s="4">
        <v>2</v>
      </c>
      <c r="F27" s="4" t="s">
        <v>13</v>
      </c>
    </row>
    <row r="28" spans="1:6">
      <c r="A28" s="4" t="s">
        <v>39</v>
      </c>
      <c r="B28" s="4" t="s">
        <v>20</v>
      </c>
      <c r="C28" s="4">
        <v>5783</v>
      </c>
      <c r="D28" s="4">
        <v>2</v>
      </c>
      <c r="E28" s="4">
        <v>3</v>
      </c>
      <c r="F28" s="4" t="s">
        <v>13</v>
      </c>
    </row>
    <row r="29" spans="1:6">
      <c r="A29" s="4" t="s">
        <v>40</v>
      </c>
      <c r="B29" s="4" t="s">
        <v>20</v>
      </c>
      <c r="C29" s="4">
        <v>6915</v>
      </c>
      <c r="D29" s="4">
        <v>12</v>
      </c>
      <c r="E29" s="4">
        <v>3</v>
      </c>
      <c r="F29" s="4" t="s">
        <v>13</v>
      </c>
    </row>
    <row r="30" spans="1:6">
      <c r="A30" s="4" t="s">
        <v>41</v>
      </c>
      <c r="B30" s="4" t="s">
        <v>26</v>
      </c>
      <c r="C30" s="4">
        <v>6798</v>
      </c>
      <c r="D30" s="4">
        <v>15</v>
      </c>
      <c r="E30" s="4">
        <v>2</v>
      </c>
      <c r="F30" s="4" t="s">
        <v>13</v>
      </c>
    </row>
    <row r="31" spans="1:6">
      <c r="A31" s="4" t="s">
        <v>42</v>
      </c>
      <c r="B31" s="4" t="s">
        <v>26</v>
      </c>
      <c r="C31" s="4">
        <v>5538</v>
      </c>
      <c r="D31" s="4">
        <v>7</v>
      </c>
      <c r="E31" s="4">
        <v>3</v>
      </c>
      <c r="F31" s="4" t="s">
        <v>43</v>
      </c>
    </row>
    <row r="32" spans="1:6">
      <c r="A32" s="4" t="s">
        <v>44</v>
      </c>
      <c r="B32" s="4" t="s">
        <v>26</v>
      </c>
      <c r="C32" s="4">
        <v>6821</v>
      </c>
      <c r="D32" s="4">
        <v>15</v>
      </c>
      <c r="E32" s="4">
        <v>2</v>
      </c>
      <c r="F32" s="4" t="s">
        <v>43</v>
      </c>
    </row>
    <row r="33" spans="1:6">
      <c r="A33" s="4" t="s">
        <v>45</v>
      </c>
      <c r="B33" s="4" t="s">
        <v>20</v>
      </c>
      <c r="C33" s="4">
        <v>6400</v>
      </c>
      <c r="D33" s="4">
        <v>7</v>
      </c>
      <c r="E33" s="4">
        <v>5</v>
      </c>
      <c r="F33" s="4" t="s">
        <v>43</v>
      </c>
    </row>
    <row r="34" spans="1:6">
      <c r="A34" s="4" t="s">
        <v>46</v>
      </c>
      <c r="B34" s="4" t="s">
        <v>12</v>
      </c>
      <c r="C34" s="4">
        <v>5106</v>
      </c>
      <c r="D34" s="4">
        <v>5</v>
      </c>
      <c r="E34" s="4">
        <v>4</v>
      </c>
      <c r="F34" s="4" t="s">
        <v>43</v>
      </c>
    </row>
    <row r="35" spans="1:6">
      <c r="A35" s="4" t="s">
        <v>47</v>
      </c>
      <c r="B35" s="4" t="s">
        <v>18</v>
      </c>
      <c r="C35" s="4">
        <v>5955</v>
      </c>
      <c r="D35" s="4">
        <v>8</v>
      </c>
      <c r="E35" s="4">
        <v>3</v>
      </c>
      <c r="F35" s="4" t="s">
        <v>43</v>
      </c>
    </row>
    <row r="36" spans="1:6">
      <c r="A36" s="4" t="s">
        <v>48</v>
      </c>
      <c r="B36" s="4" t="s">
        <v>20</v>
      </c>
      <c r="C36" s="4">
        <v>5979</v>
      </c>
      <c r="D36" s="4">
        <v>6</v>
      </c>
      <c r="E36" s="4">
        <v>3</v>
      </c>
      <c r="F36" s="4" t="s">
        <v>43</v>
      </c>
    </row>
    <row r="37" spans="1:6">
      <c r="A37" s="4" t="s">
        <v>49</v>
      </c>
      <c r="B37" s="4" t="s">
        <v>18</v>
      </c>
      <c r="C37" s="4">
        <v>6290</v>
      </c>
      <c r="D37" s="4">
        <v>11</v>
      </c>
      <c r="E37" s="4">
        <v>2</v>
      </c>
      <c r="F37" s="4" t="s">
        <v>43</v>
      </c>
    </row>
    <row r="38" spans="1:6">
      <c r="A38" s="4" t="s">
        <v>50</v>
      </c>
      <c r="B38" s="4" t="s">
        <v>12</v>
      </c>
      <c r="C38" s="4">
        <v>5793</v>
      </c>
      <c r="D38" s="4">
        <v>12</v>
      </c>
      <c r="E38" s="4">
        <v>2</v>
      </c>
      <c r="F38" s="4" t="s">
        <v>43</v>
      </c>
    </row>
    <row r="39" spans="1:6">
      <c r="A39" s="4" t="s">
        <v>51</v>
      </c>
      <c r="B39" s="4" t="s">
        <v>20</v>
      </c>
      <c r="C39" s="4">
        <v>7005</v>
      </c>
      <c r="D39" s="4">
        <v>12</v>
      </c>
      <c r="E39" s="4">
        <v>4</v>
      </c>
      <c r="F39" s="4" t="s">
        <v>43</v>
      </c>
    </row>
    <row r="40" spans="1:6">
      <c r="A40" s="4" t="s">
        <v>52</v>
      </c>
      <c r="B40" s="4" t="s">
        <v>20</v>
      </c>
      <c r="C40" s="4">
        <v>6843</v>
      </c>
      <c r="D40" s="4">
        <v>8</v>
      </c>
      <c r="E40" s="4">
        <v>4</v>
      </c>
      <c r="F40" s="4" t="s">
        <v>43</v>
      </c>
    </row>
    <row r="41" spans="1:6">
      <c r="A41" s="4" t="s">
        <v>53</v>
      </c>
      <c r="B41" s="4" t="s">
        <v>12</v>
      </c>
      <c r="C41" s="4">
        <v>5932</v>
      </c>
      <c r="D41" s="4">
        <v>10</v>
      </c>
      <c r="E41" s="4">
        <v>2</v>
      </c>
      <c r="F41" s="4" t="s">
        <v>43</v>
      </c>
    </row>
    <row r="42" spans="1:6">
      <c r="A42" s="4" t="s">
        <v>54</v>
      </c>
      <c r="B42" s="4" t="s">
        <v>18</v>
      </c>
      <c r="C42" s="4">
        <v>5607</v>
      </c>
      <c r="D42" s="4">
        <v>14</v>
      </c>
      <c r="E42" s="4">
        <v>4</v>
      </c>
      <c r="F42" s="4" t="s">
        <v>43</v>
      </c>
    </row>
    <row r="43" spans="1:6">
      <c r="A43" s="4" t="s">
        <v>55</v>
      </c>
      <c r="B43" s="4" t="s">
        <v>20</v>
      </c>
      <c r="C43" s="4">
        <v>7159</v>
      </c>
      <c r="D43" s="4">
        <v>14</v>
      </c>
      <c r="E43" s="4">
        <v>5</v>
      </c>
      <c r="F43" s="4" t="s">
        <v>43</v>
      </c>
    </row>
    <row r="44" spans="1:6">
      <c r="A44" s="4" t="s">
        <v>56</v>
      </c>
      <c r="B44" s="4" t="s">
        <v>16</v>
      </c>
      <c r="C44" s="4">
        <v>6663</v>
      </c>
      <c r="D44" s="4">
        <v>7</v>
      </c>
      <c r="E44" s="4">
        <v>5</v>
      </c>
      <c r="F44" s="4" t="s">
        <v>43</v>
      </c>
    </row>
    <row r="45" spans="1:6">
      <c r="A45" s="4" t="s">
        <v>57</v>
      </c>
      <c r="B45" s="4" t="s">
        <v>20</v>
      </c>
      <c r="C45" s="4">
        <v>6748</v>
      </c>
      <c r="D45" s="4">
        <v>12</v>
      </c>
      <c r="E45" s="4">
        <v>3</v>
      </c>
      <c r="F45" s="4" t="s">
        <v>43</v>
      </c>
    </row>
    <row r="46" spans="1:6">
      <c r="A46" s="4" t="s">
        <v>58</v>
      </c>
      <c r="B46" s="4" t="s">
        <v>16</v>
      </c>
      <c r="C46" s="4">
        <v>5588</v>
      </c>
      <c r="D46" s="4">
        <v>1</v>
      </c>
      <c r="E46" s="4">
        <v>2</v>
      </c>
      <c r="F46" s="4" t="s">
        <v>43</v>
      </c>
    </row>
    <row r="47" spans="1:6">
      <c r="A47" s="4" t="s">
        <v>59</v>
      </c>
      <c r="B47" s="4" t="s">
        <v>26</v>
      </c>
      <c r="C47" s="4">
        <v>4779</v>
      </c>
      <c r="D47" s="4">
        <v>5</v>
      </c>
      <c r="E47" s="4">
        <v>4</v>
      </c>
      <c r="F47" s="4" t="s">
        <v>43</v>
      </c>
    </row>
    <row r="48" spans="1:6">
      <c r="A48" s="4" t="s">
        <v>60</v>
      </c>
      <c r="B48" s="4" t="s">
        <v>18</v>
      </c>
      <c r="C48" s="4">
        <v>4472</v>
      </c>
      <c r="D48" s="4">
        <v>2</v>
      </c>
      <c r="E48" s="4">
        <v>3</v>
      </c>
      <c r="F48" s="4" t="s">
        <v>43</v>
      </c>
    </row>
    <row r="49" spans="1:10">
      <c r="A49" s="4" t="s">
        <v>61</v>
      </c>
      <c r="B49" s="4" t="s">
        <v>20</v>
      </c>
      <c r="C49" s="4">
        <v>5751</v>
      </c>
      <c r="D49" s="4">
        <v>10</v>
      </c>
      <c r="E49" s="4">
        <v>3</v>
      </c>
      <c r="F49" s="4" t="s">
        <v>43</v>
      </c>
    </row>
    <row r="50" spans="1:10">
      <c r="A50" s="4" t="s">
        <v>62</v>
      </c>
      <c r="B50" s="4" t="s">
        <v>26</v>
      </c>
      <c r="C50" s="4">
        <v>4833</v>
      </c>
      <c r="D50" s="4">
        <v>8</v>
      </c>
      <c r="E50" s="4">
        <v>2</v>
      </c>
      <c r="F50" s="4" t="s">
        <v>43</v>
      </c>
    </row>
    <row r="51" spans="1:10">
      <c r="A51" s="4" t="s">
        <v>63</v>
      </c>
      <c r="B51" s="4" t="s">
        <v>18</v>
      </c>
      <c r="C51" s="4">
        <v>6402</v>
      </c>
      <c r="D51" s="4">
        <v>12</v>
      </c>
      <c r="E51" s="4">
        <v>3</v>
      </c>
      <c r="F51" s="4" t="s">
        <v>43</v>
      </c>
    </row>
    <row r="52" spans="1:10">
      <c r="A52" s="4" t="s">
        <v>64</v>
      </c>
      <c r="B52" s="4" t="s">
        <v>26</v>
      </c>
      <c r="C52" s="4">
        <v>4306</v>
      </c>
      <c r="D52" s="4">
        <v>4</v>
      </c>
      <c r="E52" s="4">
        <v>5</v>
      </c>
      <c r="F52" s="4" t="s">
        <v>43</v>
      </c>
    </row>
    <row r="53" spans="1:10">
      <c r="A53" s="4" t="s">
        <v>65</v>
      </c>
      <c r="B53" s="4" t="s">
        <v>20</v>
      </c>
      <c r="C53" s="4">
        <v>6434</v>
      </c>
      <c r="D53" s="4">
        <v>9</v>
      </c>
      <c r="E53" s="4">
        <v>5</v>
      </c>
      <c r="F53" s="4" t="s">
        <v>43</v>
      </c>
    </row>
    <row r="54" spans="1:10">
      <c r="A54" s="4" t="s">
        <v>66</v>
      </c>
      <c r="B54" s="4" t="s">
        <v>20</v>
      </c>
      <c r="C54" s="4">
        <v>6299</v>
      </c>
      <c r="D54" s="4">
        <v>8</v>
      </c>
      <c r="E54" s="4">
        <v>5</v>
      </c>
      <c r="F54" s="4" t="s">
        <v>43</v>
      </c>
    </row>
    <row r="55" spans="1:10">
      <c r="A55" s="4" t="s">
        <v>67</v>
      </c>
      <c r="B55" s="4" t="s">
        <v>26</v>
      </c>
      <c r="C55" s="4">
        <v>4330</v>
      </c>
      <c r="D55" s="4">
        <v>2</v>
      </c>
      <c r="E55" s="4">
        <v>4</v>
      </c>
      <c r="F55" s="4" t="s">
        <v>43</v>
      </c>
    </row>
    <row r="59" spans="1:10">
      <c r="A59" t="s">
        <v>68</v>
      </c>
    </row>
    <row r="61" spans="1:10">
      <c r="A61" s="7" t="s">
        <v>69</v>
      </c>
      <c r="B61" s="7" t="s">
        <v>70</v>
      </c>
      <c r="C61" s="8" t="s">
        <v>71</v>
      </c>
      <c r="D61" s="8" t="s">
        <v>72</v>
      </c>
      <c r="E61" s="8" t="s">
        <v>73</v>
      </c>
      <c r="F61" s="8" t="s">
        <v>74</v>
      </c>
      <c r="G61" s="8" t="s">
        <v>75</v>
      </c>
      <c r="H61" s="9" t="s">
        <v>76</v>
      </c>
      <c r="I61" s="8" t="s">
        <v>77</v>
      </c>
      <c r="J61" s="8" t="s">
        <v>78</v>
      </c>
    </row>
    <row r="62" spans="1:10">
      <c r="A62" s="10" t="s">
        <v>79</v>
      </c>
      <c r="B62" s="10" t="s">
        <v>80</v>
      </c>
      <c r="C62" s="11">
        <f>AVERAGEIFS(Table5[Monthly_Income],Table5[Sample_Group],"Sample A")</f>
        <v>5949.84</v>
      </c>
      <c r="D62" s="11" cm="1">
        <f t="array" ref="D62">ROUND(_xlfn.STDEV.S(_xlfn._xlws.FILTER(C:C,F:F="Sample A")),2)</f>
        <v>929.77</v>
      </c>
      <c r="E62" s="11">
        <f>COUNTIFS(Table5[Sample_Group],"Sample A")</f>
        <v>25</v>
      </c>
      <c r="F62" s="11">
        <f>SQRT(E62)</f>
        <v>5</v>
      </c>
      <c r="G62" s="11">
        <f>D62/F62</f>
        <v>185.95400000000001</v>
      </c>
      <c r="H62" s="11">
        <f>ROUND(1.96*(G62),2)</f>
        <v>364.47</v>
      </c>
      <c r="I62" s="11">
        <f>C62-H62</f>
        <v>5585.37</v>
      </c>
      <c r="J62" s="11">
        <f>C62+H62</f>
        <v>6314.31</v>
      </c>
    </row>
    <row r="63" spans="1:10">
      <c r="A63" s="10" t="s">
        <v>79</v>
      </c>
      <c r="B63" s="10" t="s">
        <v>81</v>
      </c>
      <c r="C63" s="11">
        <f>AVERAGEIFS(Table5[Monthly_Income],Table5[Sample_Group],"Sample B")</f>
        <v>5881.32</v>
      </c>
      <c r="D63" s="11" cm="1">
        <f t="array" ref="D63">ROUND(_xlfn.STDEV.S(_xlfn._xlws.FILTER(Table5[Monthly_Income],Table5[Sample_Group]="Sample B")),2)</f>
        <v>850.57</v>
      </c>
      <c r="E63" s="11">
        <f>COUNTIFS(Table5[Sample_Group],"Sample B")</f>
        <v>25</v>
      </c>
      <c r="F63" s="11">
        <f>SQRT(E63)</f>
        <v>5</v>
      </c>
      <c r="G63" s="11">
        <f>D63/F63</f>
        <v>170.114</v>
      </c>
      <c r="H63" s="11">
        <f t="shared" ref="H63:H67" si="0">ROUND(1.96*(G63),2)</f>
        <v>333.42</v>
      </c>
      <c r="I63" s="11">
        <f t="shared" ref="I63:I67" si="1">C63-H63</f>
        <v>5547.9</v>
      </c>
      <c r="J63" s="11">
        <f t="shared" ref="J63:J67" si="2">C63+H63</f>
        <v>6214.74</v>
      </c>
    </row>
    <row r="64" spans="1:10">
      <c r="A64" s="10" t="s">
        <v>82</v>
      </c>
      <c r="B64" s="10" t="s">
        <v>80</v>
      </c>
      <c r="C64" s="11">
        <f>AVERAGEIFS(Table5[Years_Experience],Table5[Sample_Group],"Sample A")</f>
        <v>7.96</v>
      </c>
      <c r="D64" s="11" cm="1">
        <f t="array" ref="D64">ROUND(_xlfn.STDEV.S(_xlfn._xlws.FILTER(Table5[Years_Experience],Table5[Sample_Group]="Sample A")),2)</f>
        <v>4.37</v>
      </c>
      <c r="E64" s="11">
        <f>COUNTIFS(Table5[Sample_Group],"Sample A")</f>
        <v>25</v>
      </c>
      <c r="F64" s="11">
        <f>SQRT(E64)</f>
        <v>5</v>
      </c>
      <c r="G64" s="11">
        <f t="shared" ref="G64:G67" si="3">D64/F64</f>
        <v>0.874</v>
      </c>
      <c r="H64" s="11">
        <f t="shared" si="0"/>
        <v>1.71</v>
      </c>
      <c r="I64" s="11">
        <f t="shared" si="1"/>
        <v>6.25</v>
      </c>
      <c r="J64" s="11">
        <f t="shared" si="2"/>
        <v>9.67</v>
      </c>
    </row>
    <row r="65" spans="1:10">
      <c r="A65" s="10" t="s">
        <v>82</v>
      </c>
      <c r="B65" s="10" t="s">
        <v>81</v>
      </c>
      <c r="C65" s="11">
        <f>AVERAGEIFS(Table5[Years_Experience],Table5[Sample_Group],"Sample B")</f>
        <v>8.36</v>
      </c>
      <c r="D65" s="11" cm="1">
        <f t="array" ref="D65">ROUND(_xlfn.STDEV.S(_xlfn._xlws.FILTER(Table5[Years_Experience],Table5[Sample_Group]="Sample B")),2)</f>
        <v>3.88</v>
      </c>
      <c r="E65" s="11">
        <f>COUNTIFS(Table5[Sample_Group],"Sample B")</f>
        <v>25</v>
      </c>
      <c r="F65" s="11">
        <f t="shared" ref="F65:F67" si="4">SQRT(E65)</f>
        <v>5</v>
      </c>
      <c r="G65" s="11">
        <f t="shared" si="3"/>
        <v>0.77600000000000002</v>
      </c>
      <c r="H65" s="11">
        <f t="shared" si="0"/>
        <v>1.52</v>
      </c>
      <c r="I65" s="11">
        <f t="shared" si="1"/>
        <v>6.84</v>
      </c>
      <c r="J65" s="11">
        <f t="shared" si="2"/>
        <v>9.879999999999999</v>
      </c>
    </row>
    <row r="66" spans="1:10">
      <c r="A66" s="10" t="s">
        <v>83</v>
      </c>
      <c r="B66" s="10" t="s">
        <v>80</v>
      </c>
      <c r="C66" s="11">
        <f>AVERAGEIFS(Table5[Performance_Rating],Table5[Sample_Group],"Sample A")</f>
        <v>3.64</v>
      </c>
      <c r="D66" s="11" cm="1">
        <f t="array" ref="D66">ROUND(_xlfn.STDEV.S(_xlfn._xlws.FILTER(Table5[Performance_Rating],Table5[Sample_Group]="Sample A")),2)</f>
        <v>1.1100000000000001</v>
      </c>
      <c r="E66" s="11">
        <f>COUNTIFS(Table5[Sample_Group],"Sample A")</f>
        <v>25</v>
      </c>
      <c r="F66" s="11">
        <f t="shared" si="4"/>
        <v>5</v>
      </c>
      <c r="G66" s="11">
        <f t="shared" si="3"/>
        <v>0.22200000000000003</v>
      </c>
      <c r="H66" s="11">
        <f t="shared" si="0"/>
        <v>0.44</v>
      </c>
      <c r="I66" s="11">
        <f t="shared" si="1"/>
        <v>3.2</v>
      </c>
      <c r="J66" s="11">
        <f t="shared" si="2"/>
        <v>4.08</v>
      </c>
    </row>
    <row r="67" spans="1:10">
      <c r="A67" s="10" t="s">
        <v>83</v>
      </c>
      <c r="B67" s="10" t="s">
        <v>81</v>
      </c>
      <c r="C67" s="11">
        <f>AVERAGEIFS(Table5[Performance_Rating],Table5[Sample_Group],"Sample B")</f>
        <v>3.48</v>
      </c>
      <c r="D67" s="11" cm="1">
        <f t="array" ref="D67">ROUND(_xlfn.STDEV.S(_xlfn._xlws.FILTER(Table5[Performance_Rating],Table5[Sample_Group]="Sample B")),2)</f>
        <v>1.1200000000000001</v>
      </c>
      <c r="E67" s="11">
        <f>COUNTIFS(Table5[Sample_Group],"Sample B")</f>
        <v>25</v>
      </c>
      <c r="F67" s="11">
        <f t="shared" si="4"/>
        <v>5</v>
      </c>
      <c r="G67" s="11">
        <f t="shared" si="3"/>
        <v>0.22400000000000003</v>
      </c>
      <c r="H67" s="11">
        <f t="shared" si="0"/>
        <v>0.44</v>
      </c>
      <c r="I67" s="11">
        <f t="shared" si="1"/>
        <v>3.04</v>
      </c>
      <c r="J67" s="11">
        <f t="shared" si="2"/>
        <v>3.92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Omotoye</dc:creator>
  <cp:lastModifiedBy>David Omotoye</cp:lastModifiedBy>
  <dcterms:created xsi:type="dcterms:W3CDTF">2026-05-07T17:00:29Z</dcterms:created>
  <dcterms:modified xsi:type="dcterms:W3CDTF">2026-05-07T17:01:07Z</dcterms:modified>
</cp:coreProperties>
</file>