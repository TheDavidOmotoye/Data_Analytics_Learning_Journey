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d\Desktop\Analytics Journey\Statistical_Analysis\Week 5\Mini Project\"/>
    </mc:Choice>
  </mc:AlternateContent>
  <xr:revisionPtr revIDLastSave="0" documentId="8_{09A5214A-BAFA-4017-9001-641A303F3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_Guide" sheetId="2" r:id="rId1"/>
    <sheet name="Dataset" sheetId="1" r:id="rId2"/>
    <sheet name="Yearly Trend Sheet" sheetId="4" r:id="rId3"/>
    <sheet name="Quarterly Revenue Seasonality" sheetId="3" r:id="rId4"/>
  </sheets>
  <definedNames>
    <definedName name="_xlcn.WorksheetConnection_advanced_statistics_mini_project_dataset_with_instructions.xlsxTable11" hidden="1">Table1[]</definedName>
  </definedNames>
  <calcPr calcId="191029"/>
  <pivotCaches>
    <pivotCache cacheId="77" r:id="rId5"/>
    <pivotCache cacheId="84" r:id="rId6"/>
    <pivotCache cacheId="102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advanced_statistics_mini_project_dataset_with_instruction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5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B338" i="1"/>
  <c r="B319" i="1"/>
  <c r="B300" i="1"/>
  <c r="C281" i="1"/>
  <c r="C288" i="1" s="1"/>
  <c r="B281" i="1"/>
  <c r="B288" i="1" s="1"/>
  <c r="C280" i="1"/>
  <c r="C287" i="1" s="1"/>
  <c r="B280" i="1"/>
  <c r="B287" i="1" s="1"/>
  <c r="C279" i="1"/>
  <c r="C286" i="1" s="1"/>
  <c r="B279" i="1"/>
  <c r="B286" i="1" s="1"/>
  <c r="C278" i="1"/>
  <c r="C285" i="1" s="1"/>
  <c r="B278" i="1"/>
  <c r="B285" i="1" s="1"/>
  <c r="B290" i="1" l="1"/>
  <c r="B292" i="1" s="1"/>
  <c r="G135" i="1" l="1"/>
  <c r="F135" i="1"/>
  <c r="E135" i="1"/>
  <c r="D135" i="1"/>
  <c r="C135" i="1"/>
  <c r="B135" i="1"/>
  <c r="G134" i="1"/>
  <c r="F134" i="1"/>
  <c r="E134" i="1"/>
  <c r="D134" i="1"/>
  <c r="C134" i="1"/>
  <c r="B134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B124" i="1"/>
  <c r="E133" i="1" l="1"/>
  <c r="C133" i="1"/>
  <c r="G133" i="1"/>
  <c r="D133" i="1"/>
  <c r="B133" i="1"/>
  <c r="F1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D254D-CE95-43A4-B74F-3D02CA9D3B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DD0B7D4-B762-4D93-AEAF-A8313C7E3759}" name="WorksheetConnection_advanced_statistics_mini_project_dataset_with_instruction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dvanced_statistics_mini_project_dataset_with_instructions.xlsxTable11"/>
        </x15:connection>
      </ext>
    </extLst>
  </connection>
</connections>
</file>

<file path=xl/sharedStrings.xml><?xml version="1.0" encoding="utf-8"?>
<sst xmlns="http://schemas.openxmlformats.org/spreadsheetml/2006/main" count="1094" uniqueCount="312">
  <si>
    <t>Employee_ID</t>
  </si>
  <si>
    <t>Department</t>
  </si>
  <si>
    <t>Region</t>
  </si>
  <si>
    <t>Gender</t>
  </si>
  <si>
    <t>Training_Group</t>
  </si>
  <si>
    <t>Month_No</t>
  </si>
  <si>
    <t>Marketing_Spend</t>
  </si>
  <si>
    <t>Website_Traffic</t>
  </si>
  <si>
    <t>Sales_Calls</t>
  </si>
  <si>
    <t>Sales_Revenue</t>
  </si>
  <si>
    <t>Customer_Orders</t>
  </si>
  <si>
    <t>Employee_Satisfaction</t>
  </si>
  <si>
    <t>Attrition</t>
  </si>
  <si>
    <t>Project_Status</t>
  </si>
  <si>
    <t>EMP-1001</t>
  </si>
  <si>
    <t>Operations</t>
  </si>
  <si>
    <t>Abuja</t>
  </si>
  <si>
    <t>Male</t>
  </si>
  <si>
    <t>Control</t>
  </si>
  <si>
    <t>No</t>
  </si>
  <si>
    <t>Delayed</t>
  </si>
  <si>
    <t>EMP-1002</t>
  </si>
  <si>
    <t>Completed</t>
  </si>
  <si>
    <t>EMP-1003</t>
  </si>
  <si>
    <t>Marketing</t>
  </si>
  <si>
    <t>Lagos</t>
  </si>
  <si>
    <t>EMP-1004</t>
  </si>
  <si>
    <t>Female</t>
  </si>
  <si>
    <t>Trained</t>
  </si>
  <si>
    <t>Yes</t>
  </si>
  <si>
    <t>EMP-1005</t>
  </si>
  <si>
    <t>Sales</t>
  </si>
  <si>
    <t>EMP-1006</t>
  </si>
  <si>
    <t>Finance</t>
  </si>
  <si>
    <t>Port Harcourt</t>
  </si>
  <si>
    <t>EMP-1007</t>
  </si>
  <si>
    <t>EMP-1008</t>
  </si>
  <si>
    <t>EMP-1009</t>
  </si>
  <si>
    <t>Ibadan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</si>
  <si>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</si>
  <si>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</si>
  <si>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</si>
  <si>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</si>
  <si>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</si>
  <si>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</si>
  <si>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</si>
  <si>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</si>
  <si>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</si>
  <si>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</si>
  <si>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</si>
  <si>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</si>
  <si>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</si>
  <si>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</si>
  <si>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</si>
  <si>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</si>
  <si>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</si>
  <si>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</si>
  <si>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</si>
  <si>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</si>
  <si>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</si>
  <si>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</si>
  <si>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</si>
  <si>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</si>
  <si>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</si>
  <si>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</si>
  <si>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</si>
  <si>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</si>
  <si>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</si>
  <si>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</si>
  <si>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</si>
  <si>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</si>
  <si>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</si>
  <si>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</si>
  <si>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</si>
  <si>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</si>
  <si>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</si>
  <si>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</si>
  <si>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</si>
  <si>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</si>
  <si>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</si>
  <si>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</si>
  <si>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</si>
  <si>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</si>
  <si>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</si>
  <si>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</si>
  <si>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</si>
  <si>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</si>
  <si>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</si>
  <si>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</si>
  <si>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</si>
  <si>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</si>
  <si>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</si>
  <si>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</si>
  <si>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</si>
  <si>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</si>
  <si>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</si>
  <si>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</si>
  <si>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</si>
  <si>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</si>
  <si>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</si>
  <si>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</si>
  <si>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</si>
  <si>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</si>
  <si>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</si>
  <si>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</si>
  <si>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</si>
  <si>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</si>
  <si>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</si>
  <si>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</si>
  <si>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</si>
  <si>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</si>
  <si>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</si>
  <si>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</si>
  <si>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</si>
  <si>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</si>
  <si>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</si>
  <si>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</si>
  <si>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</si>
  <si>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</si>
  <si>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</si>
  <si>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</si>
  <si>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</si>
  <si>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</si>
  <si>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</si>
  <si>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</si>
  <si>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</si>
  <si>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</si>
  <si>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</si>
  <si>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</si>
  <si>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</si>
  <si>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</si>
  <si>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EMP-1102</t>
  </si>
  <si>
    <t>EMP-1103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</si>
  <si>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</si>
  <si>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</si>
  <si>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</si>
  <si>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</si>
  <si>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</si>
  <si>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</si>
  <si>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</si>
  <si>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</si>
  <si>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</si>
  <si>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</si>
  <si>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</si>
  <si>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</si>
  <si>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</si>
  <si>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</si>
  <si>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</si>
  <si>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</si>
  <si>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EMP-1120</t>
  </si>
  <si>
    <t>ADVANCED STATISTICAL ANALYSIS MINI PROJECT</t>
  </si>
  <si>
    <t>PROJECT OVERVIEW</t>
  </si>
  <si>
    <t>This dataset was designed to simulate a realistic business analytics environment where advanced statistical concepts can be practiced using real-world style business data.</t>
  </si>
  <si>
    <t>DATASET COLUMNS</t>
  </si>
  <si>
    <t>Unique employee identifier</t>
  </si>
  <si>
    <t>Employee department</t>
  </si>
  <si>
    <t>Business location</t>
  </si>
  <si>
    <t>Employee gender</t>
  </si>
  <si>
    <t>Whether employee received training</t>
  </si>
  <si>
    <t>Time period for time series analysis</t>
  </si>
  <si>
    <t>Advertising investment</t>
  </si>
  <si>
    <t>Website visitors generated</t>
  </si>
  <si>
    <t>Number of customer calls</t>
  </si>
  <si>
    <t>Revenue generated</t>
  </si>
  <si>
    <t>Total customer orders</t>
  </si>
  <si>
    <t>Employee satisfaction score</t>
  </si>
  <si>
    <t>Employee resignation status</t>
  </si>
  <si>
    <t>Project completion outcome</t>
  </si>
  <si>
    <t>PROJECT TASKS</t>
  </si>
  <si>
    <t>1. Descriptive Statistics</t>
  </si>
  <si>
    <t>Calculate mean, median, variance, standard deviation, minimum and maximum values.</t>
  </si>
  <si>
    <t>2. Hypothesis Testing</t>
  </si>
  <si>
    <t>Use Independent t-Test to compare Training_Group against Sales_Revenue.</t>
  </si>
  <si>
    <t>3. ANOVA</t>
  </si>
  <si>
    <t>Compare Employee_Satisfaction across Departments.</t>
  </si>
  <si>
    <t>4. Chi-Square Testing</t>
  </si>
  <si>
    <t>Test relationships between categorical variables like Department and Project_Status.</t>
  </si>
  <si>
    <t>5. Correlation Analysis</t>
  </si>
  <si>
    <t>Analyze relationships between Marketing_Spend and Sales_Revenue.</t>
  </si>
  <si>
    <t>6. Regression Analysis</t>
  </si>
  <si>
    <t>Build simple and multiple regression models.</t>
  </si>
  <si>
    <t>7. Regression Diagnostics</t>
  </si>
  <si>
    <t>Calculate residuals, MSE, RMSE and detect outliers.</t>
  </si>
  <si>
    <t>8. Time Series Analysis</t>
  </si>
  <si>
    <t>Analyze trends, growth rates and moving averages.</t>
  </si>
  <si>
    <t>9. Forecasting</t>
  </si>
  <si>
    <t>Build moving average forecasts and forecast error analysis.</t>
  </si>
  <si>
    <t>SUGGESTED VISUALIZATIONS</t>
  </si>
  <si>
    <t>Revenue Trend</t>
  </si>
  <si>
    <t>Line Chart</t>
  </si>
  <si>
    <t>Revenue vs Moving Average</t>
  </si>
  <si>
    <t>Multi-Line Chart</t>
  </si>
  <si>
    <t>Forecast Error Analysis</t>
  </si>
  <si>
    <t>Column Chart</t>
  </si>
  <si>
    <t>Revenue vs Marketing Spend</t>
  </si>
  <si>
    <t>Scatter Plot</t>
  </si>
  <si>
    <t>Website Traffic vs Orders</t>
  </si>
  <si>
    <t>EXPECTED DELIVERABLES</t>
  </si>
  <si>
    <t>README.md</t>
  </si>
  <si>
    <t>Project documentation</t>
  </si>
  <si>
    <t>Study_Note.md</t>
  </si>
  <si>
    <t>Detailed learning notes</t>
  </si>
  <si>
    <t>Reflection.md</t>
  </si>
  <si>
    <t>Learning reflection</t>
  </si>
  <si>
    <t>Key Insights</t>
  </si>
  <si>
    <t>Business and statistical interpretations</t>
  </si>
  <si>
    <t>Charts &amp; Dashboards</t>
  </si>
  <si>
    <t>Professional visualizations</t>
  </si>
  <si>
    <t>FINAL NOTE</t>
  </si>
  <si>
    <t>Treat this project like a real junior-to-intermediate business analytics portfolio project.</t>
  </si>
  <si>
    <t>PHASE 1</t>
  </si>
  <si>
    <t>DESCRIPTIVE STATISTICS</t>
  </si>
  <si>
    <t>Metric</t>
  </si>
  <si>
    <t>Mean</t>
  </si>
  <si>
    <t>Median</t>
  </si>
  <si>
    <t>Minimum</t>
  </si>
  <si>
    <t>Maximum</t>
  </si>
  <si>
    <t>Range</t>
  </si>
  <si>
    <t>Standard Deviation</t>
  </si>
  <si>
    <t>Variance</t>
  </si>
  <si>
    <t>PHASE 2</t>
  </si>
  <si>
    <t>Independent t-Testing</t>
  </si>
  <si>
    <t>Trained_Revenue</t>
  </si>
  <si>
    <t>Control_Revenue</t>
  </si>
  <si>
    <t>t-Test: Two-Sample Assuming Unequal Variances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</si>
  <si>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</si>
  <si>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</si>
  <si>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</si>
  <si>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</si>
  <si>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</si>
  <si>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</si>
  <si>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</si>
  <si>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</si>
  <si>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HYPOTHESES</t>
  </si>
  <si>
    <t>Null Hypothesis</t>
  </si>
  <si>
    <t>H₀: There is no significant difference in sales revenue between trained and control employees.</t>
  </si>
  <si>
    <t>Alternative Hypothesis</t>
  </si>
  <si>
    <t>H₁: There is a significant difference in sales revenue between trained and control employees.</t>
  </si>
  <si>
    <t>Decision Rule: If p-value &lt; 0.05: Reject H₀, If p-value &gt; 0.05: Fail to reject H₀</t>
  </si>
  <si>
    <t>Decision: Since the p-value (0.2811) is greater than 0.05, we fail to reject the null hypothesis.</t>
  </si>
  <si>
    <t>PHASE 3</t>
  </si>
  <si>
    <t>ANOVA TESTING</t>
  </si>
  <si>
    <t>H₀: All departments have equal average employee satisfaction.</t>
  </si>
  <si>
    <t>H₁: At least one department has a different average employee satisfaction level.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</si>
  <si>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</si>
  <si>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</si>
  <si>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</si>
  <si>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</si>
  <si>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</si>
  <si>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</si>
  <si>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</si>
  <si>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</si>
  <si>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</si>
  <si>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</si>
  <si>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</si>
  <si>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</si>
  <si>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</si>
  <si>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</si>
  <si>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</si>
  <si>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</si>
  <si>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Decision: There is no statistically significant difference in employee satisfaction across departments.</t>
  </si>
  <si>
    <t>PHASE 4</t>
  </si>
  <si>
    <t>CHI-SQUARE TESTING</t>
  </si>
  <si>
    <t>H₀: Department and Project_Status are independent.</t>
  </si>
  <si>
    <t>H₁: Department and Project_Status are associated.</t>
  </si>
  <si>
    <t>Row Labels</t>
  </si>
  <si>
    <t>Grand Total</t>
  </si>
  <si>
    <t>Column Labels</t>
  </si>
  <si>
    <t>Count of Project_Status</t>
  </si>
  <si>
    <t>Expected Frequency Table</t>
  </si>
  <si>
    <t>Project Status</t>
  </si>
  <si>
    <t>Chi-Square Components</t>
  </si>
  <si>
    <r>
      <t>x</t>
    </r>
    <r>
      <rPr>
        <sz val="11"/>
        <color theme="1"/>
        <rFont val="Aptos Narrow"/>
        <family val="2"/>
      </rPr>
      <t>²</t>
    </r>
  </si>
  <si>
    <t>p-value</t>
  </si>
  <si>
    <t>Decision: There is no statistically significant association between Department and Project_Status.</t>
  </si>
  <si>
    <t>PHASE 5</t>
  </si>
  <si>
    <t>CORRELATION</t>
  </si>
  <si>
    <t>Marketing_Spend vs Sales_Revenue</t>
  </si>
  <si>
    <t>Website_Traffic vs Customer_Orders</t>
  </si>
  <si>
    <t>Sales_Call vs Sales_Revenue</t>
  </si>
  <si>
    <t>PHASE 6</t>
  </si>
  <si>
    <t>REGRESSION</t>
  </si>
  <si>
    <t>Objective: Determine how marketing spend, website traffic, and sales calls influence sales revenue.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</si>
  <si>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</si>
  <si>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</si>
  <si>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</si>
  <si>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</si>
  <si>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</si>
  <si>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</si>
  <si>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</si>
  <si>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</si>
  <si>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</si>
  <si>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</si>
  <si>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</si>
  <si>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</si>
  <si>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</si>
  <si>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</si>
  <si>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</si>
  <si>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TREND ANALYSES</t>
  </si>
  <si>
    <t>Month_Flag</t>
  </si>
  <si>
    <t>Year</t>
  </si>
  <si>
    <t>Month_Year</t>
  </si>
  <si>
    <t>3-Month Moving Average</t>
  </si>
  <si>
    <t>4-Month Moving Average</t>
  </si>
  <si>
    <t>r</t>
  </si>
  <si>
    <t>COUNT</t>
  </si>
  <si>
    <t>Quarter</t>
  </si>
  <si>
    <t>Q1</t>
  </si>
  <si>
    <t>Q2</t>
  </si>
  <si>
    <t>Q3</t>
  </si>
  <si>
    <t>Q4</t>
  </si>
  <si>
    <t>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</si>
</sst>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4" formatCode="0.0000"/>
    <numFmt numFmtId="17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ont="1" applyFill="1" applyBorder="1"/>
    <xf numFmtId="0" fontId="0" fillId="3" borderId="1" xfId="0" applyFont="1" applyFill="1" applyBorder="1"/>
    <xf numFmtId="44" fontId="0" fillId="0" borderId="0" xfId="1" applyFont="1"/>
    <xf numFmtId="0" fontId="0" fillId="3" borderId="2" xfId="0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4" fontId="4" fillId="0" borderId="0" xfId="1" applyFont="1"/>
    <xf numFmtId="0" fontId="0" fillId="0" borderId="0" xfId="1" applyNumberFormat="1" applyFont="1"/>
    <xf numFmtId="44" fontId="0" fillId="2" borderId="1" xfId="1" applyNumberFormat="1" applyFont="1" applyFill="1" applyBorder="1"/>
    <xf numFmtId="44" fontId="0" fillId="3" borderId="1" xfId="1" applyNumberFormat="1" applyFont="1" applyFill="1" applyBorder="1"/>
    <xf numFmtId="44" fontId="0" fillId="3" borderId="2" xfId="1" applyNumberFormat="1" applyFont="1" applyFill="1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0" xfId="0" applyAlignment="1"/>
    <xf numFmtId="0" fontId="0" fillId="2" borderId="2" xfId="0" applyFont="1" applyFill="1" applyBorder="1"/>
    <xf numFmtId="0" fontId="0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4" fontId="0" fillId="0" borderId="0" xfId="0" applyNumberFormat="1" applyAlignment="1">
      <alignment vertical="center" wrapText="1"/>
    </xf>
    <xf numFmtId="175" fontId="0" fillId="0" borderId="0" xfId="0" applyNumberFormat="1" applyAlignment="1">
      <alignment vertical="center" wrapText="1"/>
    </xf>
    <xf numFmtId="175" fontId="0" fillId="0" borderId="0" xfId="0" applyNumberFormat="1"/>
    <xf numFmtId="174" fontId="0" fillId="0" borderId="0" xfId="0" applyNumberFormat="1"/>
    <xf numFmtId="2" fontId="0" fillId="0" borderId="0" xfId="0" applyNumberFormat="1"/>
    <xf numFmtId="0" fontId="5" fillId="0" borderId="4" xfId="0" applyFont="1" applyFill="1" applyBorder="1" applyAlignment="1">
      <alignment horizontal="centerContinuous"/>
    </xf>
    <xf numFmtId="0" fontId="5" fillId="0" borderId="0" xfId="0" applyFont="1" applyFill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0" fillId="0" borderId="0" xfId="0" applyNumberFormat="1"/>
  </cellXfs>
  <cellStyles count="2">
    <cellStyle name="Currency" xfId="1" builtinId="4"/>
    <cellStyle name="Normal" xfId="0" builtinId="0"/>
  </cellStyles>
  <dxfs count="25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55402449693789"/>
                  <c:y val="6.6504447360746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Dataset!$K$2:$K$121</c:f>
              <c:numCache>
                <c:formatCode>_("$"* #,##0.00_);_("$"* \(#,##0.00\);_("$"* "-"??_);_(@_)</c:formatCode>
                <c:ptCount val="120"/>
                <c:pt idx="0">
                  <c:v>17852</c:v>
                </c:pt>
                <c:pt idx="1">
                  <c:v>11631</c:v>
                </c:pt>
                <c:pt idx="2">
                  <c:v>21438</c:v>
                </c:pt>
                <c:pt idx="3">
                  <c:v>27368</c:v>
                </c:pt>
                <c:pt idx="4">
                  <c:v>20764</c:v>
                </c:pt>
                <c:pt idx="5">
                  <c:v>27166</c:v>
                </c:pt>
                <c:pt idx="6">
                  <c:v>12700</c:v>
                </c:pt>
                <c:pt idx="7">
                  <c:v>15694</c:v>
                </c:pt>
                <c:pt idx="8">
                  <c:v>19444</c:v>
                </c:pt>
                <c:pt idx="9">
                  <c:v>18349</c:v>
                </c:pt>
                <c:pt idx="10">
                  <c:v>5874</c:v>
                </c:pt>
                <c:pt idx="11">
                  <c:v>20102</c:v>
                </c:pt>
                <c:pt idx="12">
                  <c:v>12058</c:v>
                </c:pt>
                <c:pt idx="13">
                  <c:v>24890</c:v>
                </c:pt>
                <c:pt idx="14">
                  <c:v>16782</c:v>
                </c:pt>
                <c:pt idx="15">
                  <c:v>17029</c:v>
                </c:pt>
                <c:pt idx="16">
                  <c:v>21851</c:v>
                </c:pt>
                <c:pt idx="17">
                  <c:v>9617</c:v>
                </c:pt>
                <c:pt idx="18">
                  <c:v>25214</c:v>
                </c:pt>
                <c:pt idx="19">
                  <c:v>25299</c:v>
                </c:pt>
                <c:pt idx="20">
                  <c:v>9290</c:v>
                </c:pt>
                <c:pt idx="21">
                  <c:v>27512</c:v>
                </c:pt>
                <c:pt idx="22">
                  <c:v>24197</c:v>
                </c:pt>
                <c:pt idx="23">
                  <c:v>6264</c:v>
                </c:pt>
                <c:pt idx="24">
                  <c:v>6194</c:v>
                </c:pt>
                <c:pt idx="25">
                  <c:v>9038</c:v>
                </c:pt>
                <c:pt idx="26">
                  <c:v>28215</c:v>
                </c:pt>
                <c:pt idx="27">
                  <c:v>6824</c:v>
                </c:pt>
                <c:pt idx="28">
                  <c:v>16146</c:v>
                </c:pt>
                <c:pt idx="29">
                  <c:v>12067</c:v>
                </c:pt>
                <c:pt idx="30">
                  <c:v>24869</c:v>
                </c:pt>
                <c:pt idx="31">
                  <c:v>24770</c:v>
                </c:pt>
                <c:pt idx="32">
                  <c:v>13358</c:v>
                </c:pt>
                <c:pt idx="33">
                  <c:v>26606</c:v>
                </c:pt>
                <c:pt idx="34">
                  <c:v>22992</c:v>
                </c:pt>
                <c:pt idx="35">
                  <c:v>13516</c:v>
                </c:pt>
                <c:pt idx="36">
                  <c:v>24537</c:v>
                </c:pt>
                <c:pt idx="37">
                  <c:v>25356</c:v>
                </c:pt>
                <c:pt idx="38">
                  <c:v>7371</c:v>
                </c:pt>
                <c:pt idx="39">
                  <c:v>17075</c:v>
                </c:pt>
                <c:pt idx="40">
                  <c:v>23484</c:v>
                </c:pt>
                <c:pt idx="41">
                  <c:v>12595</c:v>
                </c:pt>
                <c:pt idx="42">
                  <c:v>5932</c:v>
                </c:pt>
                <c:pt idx="43">
                  <c:v>17346</c:v>
                </c:pt>
                <c:pt idx="44">
                  <c:v>9408</c:v>
                </c:pt>
                <c:pt idx="45">
                  <c:v>6405</c:v>
                </c:pt>
                <c:pt idx="46">
                  <c:v>6718</c:v>
                </c:pt>
                <c:pt idx="47">
                  <c:v>23331</c:v>
                </c:pt>
                <c:pt idx="48">
                  <c:v>25283</c:v>
                </c:pt>
                <c:pt idx="49">
                  <c:v>21478</c:v>
                </c:pt>
                <c:pt idx="50">
                  <c:v>16072</c:v>
                </c:pt>
                <c:pt idx="51">
                  <c:v>26436</c:v>
                </c:pt>
                <c:pt idx="52">
                  <c:v>6674</c:v>
                </c:pt>
                <c:pt idx="53">
                  <c:v>28202</c:v>
                </c:pt>
                <c:pt idx="54">
                  <c:v>23443</c:v>
                </c:pt>
                <c:pt idx="55">
                  <c:v>21480</c:v>
                </c:pt>
                <c:pt idx="56">
                  <c:v>6624</c:v>
                </c:pt>
                <c:pt idx="57">
                  <c:v>7031</c:v>
                </c:pt>
                <c:pt idx="58">
                  <c:v>15376</c:v>
                </c:pt>
                <c:pt idx="59">
                  <c:v>17225</c:v>
                </c:pt>
                <c:pt idx="60">
                  <c:v>21864</c:v>
                </c:pt>
                <c:pt idx="61">
                  <c:v>20820</c:v>
                </c:pt>
                <c:pt idx="62">
                  <c:v>8845</c:v>
                </c:pt>
                <c:pt idx="63">
                  <c:v>26347</c:v>
                </c:pt>
                <c:pt idx="64">
                  <c:v>26926</c:v>
                </c:pt>
                <c:pt idx="65">
                  <c:v>8598</c:v>
                </c:pt>
                <c:pt idx="66">
                  <c:v>20964</c:v>
                </c:pt>
                <c:pt idx="67">
                  <c:v>6756</c:v>
                </c:pt>
                <c:pt idx="68">
                  <c:v>21788</c:v>
                </c:pt>
                <c:pt idx="69">
                  <c:v>15868</c:v>
                </c:pt>
                <c:pt idx="70">
                  <c:v>14631</c:v>
                </c:pt>
                <c:pt idx="71">
                  <c:v>14339</c:v>
                </c:pt>
                <c:pt idx="72">
                  <c:v>7965</c:v>
                </c:pt>
                <c:pt idx="73">
                  <c:v>26866</c:v>
                </c:pt>
                <c:pt idx="74">
                  <c:v>18626</c:v>
                </c:pt>
                <c:pt idx="75">
                  <c:v>18400</c:v>
                </c:pt>
                <c:pt idx="76">
                  <c:v>11193</c:v>
                </c:pt>
                <c:pt idx="77">
                  <c:v>10978</c:v>
                </c:pt>
                <c:pt idx="78">
                  <c:v>13927</c:v>
                </c:pt>
                <c:pt idx="79">
                  <c:v>29266</c:v>
                </c:pt>
                <c:pt idx="80">
                  <c:v>16486</c:v>
                </c:pt>
                <c:pt idx="81">
                  <c:v>26092</c:v>
                </c:pt>
                <c:pt idx="82">
                  <c:v>7238</c:v>
                </c:pt>
                <c:pt idx="83">
                  <c:v>14831</c:v>
                </c:pt>
                <c:pt idx="84">
                  <c:v>7220</c:v>
                </c:pt>
                <c:pt idx="85">
                  <c:v>23504</c:v>
                </c:pt>
                <c:pt idx="86">
                  <c:v>13100</c:v>
                </c:pt>
                <c:pt idx="87">
                  <c:v>10625</c:v>
                </c:pt>
                <c:pt idx="88">
                  <c:v>16125</c:v>
                </c:pt>
                <c:pt idx="89">
                  <c:v>27931</c:v>
                </c:pt>
                <c:pt idx="90">
                  <c:v>6635</c:v>
                </c:pt>
                <c:pt idx="91">
                  <c:v>25571</c:v>
                </c:pt>
                <c:pt idx="92">
                  <c:v>27384</c:v>
                </c:pt>
                <c:pt idx="93">
                  <c:v>12890</c:v>
                </c:pt>
                <c:pt idx="94">
                  <c:v>24085</c:v>
                </c:pt>
                <c:pt idx="95">
                  <c:v>16984</c:v>
                </c:pt>
                <c:pt idx="96">
                  <c:v>18725</c:v>
                </c:pt>
                <c:pt idx="97">
                  <c:v>19724</c:v>
                </c:pt>
                <c:pt idx="98">
                  <c:v>20105</c:v>
                </c:pt>
                <c:pt idx="99">
                  <c:v>8595</c:v>
                </c:pt>
                <c:pt idx="100">
                  <c:v>18383</c:v>
                </c:pt>
                <c:pt idx="101">
                  <c:v>27046</c:v>
                </c:pt>
                <c:pt idx="102">
                  <c:v>12289</c:v>
                </c:pt>
                <c:pt idx="103">
                  <c:v>23324</c:v>
                </c:pt>
                <c:pt idx="104">
                  <c:v>23271</c:v>
                </c:pt>
                <c:pt idx="105">
                  <c:v>8024</c:v>
                </c:pt>
                <c:pt idx="106">
                  <c:v>9406</c:v>
                </c:pt>
                <c:pt idx="107">
                  <c:v>15626</c:v>
                </c:pt>
                <c:pt idx="108">
                  <c:v>10603</c:v>
                </c:pt>
                <c:pt idx="109">
                  <c:v>25741</c:v>
                </c:pt>
                <c:pt idx="110">
                  <c:v>13146</c:v>
                </c:pt>
                <c:pt idx="111">
                  <c:v>16856</c:v>
                </c:pt>
                <c:pt idx="112">
                  <c:v>25084</c:v>
                </c:pt>
                <c:pt idx="113">
                  <c:v>21329</c:v>
                </c:pt>
                <c:pt idx="114">
                  <c:v>8140</c:v>
                </c:pt>
                <c:pt idx="115">
                  <c:v>19358</c:v>
                </c:pt>
                <c:pt idx="116">
                  <c:v>10262</c:v>
                </c:pt>
                <c:pt idx="117">
                  <c:v>26797</c:v>
                </c:pt>
                <c:pt idx="118">
                  <c:v>16895</c:v>
                </c:pt>
                <c:pt idx="119">
                  <c:v>15010</c:v>
                </c:pt>
              </c:numCache>
            </c:numRef>
          </c:xVal>
          <c:yVal>
            <c:numRef>
              <c:f>Dataset!$N$2:$N$121</c:f>
              <c:numCache>
                <c:formatCode>_("$"* #,##0.00_);_("$"* \(#,##0.00\);_("$"* "-"??_);_(@_)</c:formatCode>
                <c:ptCount val="120"/>
                <c:pt idx="0">
                  <c:v>105211</c:v>
                </c:pt>
                <c:pt idx="1">
                  <c:v>74908</c:v>
                </c:pt>
                <c:pt idx="2">
                  <c:v>138323</c:v>
                </c:pt>
                <c:pt idx="3">
                  <c:v>153419</c:v>
                </c:pt>
                <c:pt idx="4">
                  <c:v>108379</c:v>
                </c:pt>
                <c:pt idx="5">
                  <c:v>150281</c:v>
                </c:pt>
                <c:pt idx="6">
                  <c:v>80365</c:v>
                </c:pt>
                <c:pt idx="7">
                  <c:v>103471</c:v>
                </c:pt>
                <c:pt idx="8">
                  <c:v>127323</c:v>
                </c:pt>
                <c:pt idx="9">
                  <c:v>108347</c:v>
                </c:pt>
                <c:pt idx="10">
                  <c:v>62422</c:v>
                </c:pt>
                <c:pt idx="11">
                  <c:v>119350</c:v>
                </c:pt>
                <c:pt idx="12">
                  <c:v>85353</c:v>
                </c:pt>
                <c:pt idx="13">
                  <c:v>145118</c:v>
                </c:pt>
                <c:pt idx="14">
                  <c:v>93248</c:v>
                </c:pt>
                <c:pt idx="15">
                  <c:v>99669</c:v>
                </c:pt>
                <c:pt idx="16">
                  <c:v>144689</c:v>
                </c:pt>
                <c:pt idx="17">
                  <c:v>63367</c:v>
                </c:pt>
                <c:pt idx="18">
                  <c:v>153371</c:v>
                </c:pt>
                <c:pt idx="19">
                  <c:v>145224</c:v>
                </c:pt>
                <c:pt idx="20">
                  <c:v>49617</c:v>
                </c:pt>
                <c:pt idx="21">
                  <c:v>132277</c:v>
                </c:pt>
                <c:pt idx="22">
                  <c:v>148707</c:v>
                </c:pt>
                <c:pt idx="23">
                  <c:v>34438</c:v>
                </c:pt>
                <c:pt idx="24">
                  <c:v>67595</c:v>
                </c:pt>
                <c:pt idx="25">
                  <c:v>53764</c:v>
                </c:pt>
                <c:pt idx="26">
                  <c:v>144548</c:v>
                </c:pt>
                <c:pt idx="27">
                  <c:v>59841</c:v>
                </c:pt>
                <c:pt idx="28">
                  <c:v>83919</c:v>
                </c:pt>
                <c:pt idx="29">
                  <c:v>80935</c:v>
                </c:pt>
                <c:pt idx="30">
                  <c:v>134309</c:v>
                </c:pt>
                <c:pt idx="31">
                  <c:v>141157</c:v>
                </c:pt>
                <c:pt idx="32">
                  <c:v>76444</c:v>
                </c:pt>
                <c:pt idx="33">
                  <c:v>140648</c:v>
                </c:pt>
                <c:pt idx="34">
                  <c:v>117502</c:v>
                </c:pt>
                <c:pt idx="35">
                  <c:v>80111</c:v>
                </c:pt>
                <c:pt idx="36">
                  <c:v>126278</c:v>
                </c:pt>
                <c:pt idx="37">
                  <c:v>134796</c:v>
                </c:pt>
                <c:pt idx="38">
                  <c:v>46911</c:v>
                </c:pt>
                <c:pt idx="39">
                  <c:v>97429</c:v>
                </c:pt>
                <c:pt idx="40">
                  <c:v>117269</c:v>
                </c:pt>
                <c:pt idx="41">
                  <c:v>73609</c:v>
                </c:pt>
                <c:pt idx="42">
                  <c:v>56812</c:v>
                </c:pt>
                <c:pt idx="43">
                  <c:v>92441</c:v>
                </c:pt>
                <c:pt idx="44">
                  <c:v>60874</c:v>
                </c:pt>
                <c:pt idx="45">
                  <c:v>38436</c:v>
                </c:pt>
                <c:pt idx="46">
                  <c:v>46870</c:v>
                </c:pt>
                <c:pt idx="47">
                  <c:v>132446</c:v>
                </c:pt>
                <c:pt idx="48">
                  <c:v>141767</c:v>
                </c:pt>
                <c:pt idx="49">
                  <c:v>109494</c:v>
                </c:pt>
                <c:pt idx="50">
                  <c:v>86793</c:v>
                </c:pt>
                <c:pt idx="51">
                  <c:v>131784</c:v>
                </c:pt>
                <c:pt idx="52">
                  <c:v>54724</c:v>
                </c:pt>
                <c:pt idx="53">
                  <c:v>175118</c:v>
                </c:pt>
                <c:pt idx="54">
                  <c:v>147858</c:v>
                </c:pt>
                <c:pt idx="55">
                  <c:v>139814</c:v>
                </c:pt>
                <c:pt idx="56">
                  <c:v>48985</c:v>
                </c:pt>
                <c:pt idx="57">
                  <c:v>48493</c:v>
                </c:pt>
                <c:pt idx="58">
                  <c:v>98505</c:v>
                </c:pt>
                <c:pt idx="59">
                  <c:v>106051</c:v>
                </c:pt>
                <c:pt idx="60">
                  <c:v>128474</c:v>
                </c:pt>
                <c:pt idx="61">
                  <c:v>118158</c:v>
                </c:pt>
                <c:pt idx="62">
                  <c:v>70939</c:v>
                </c:pt>
                <c:pt idx="63">
                  <c:v>153267</c:v>
                </c:pt>
                <c:pt idx="64">
                  <c:v>145608</c:v>
                </c:pt>
                <c:pt idx="65">
                  <c:v>77751</c:v>
                </c:pt>
                <c:pt idx="66">
                  <c:v>122784</c:v>
                </c:pt>
                <c:pt idx="67">
                  <c:v>70565</c:v>
                </c:pt>
                <c:pt idx="68">
                  <c:v>142039</c:v>
                </c:pt>
                <c:pt idx="69">
                  <c:v>108296</c:v>
                </c:pt>
                <c:pt idx="70">
                  <c:v>87994</c:v>
                </c:pt>
                <c:pt idx="71">
                  <c:v>90086</c:v>
                </c:pt>
                <c:pt idx="72">
                  <c:v>55216</c:v>
                </c:pt>
                <c:pt idx="73">
                  <c:v>165042</c:v>
                </c:pt>
                <c:pt idx="74">
                  <c:v>111209</c:v>
                </c:pt>
                <c:pt idx="75">
                  <c:v>115047</c:v>
                </c:pt>
                <c:pt idx="76">
                  <c:v>71256</c:v>
                </c:pt>
                <c:pt idx="77">
                  <c:v>81780</c:v>
                </c:pt>
                <c:pt idx="78">
                  <c:v>93884</c:v>
                </c:pt>
                <c:pt idx="79">
                  <c:v>176417</c:v>
                </c:pt>
                <c:pt idx="80">
                  <c:v>112544</c:v>
                </c:pt>
                <c:pt idx="81">
                  <c:v>131540</c:v>
                </c:pt>
                <c:pt idx="82">
                  <c:v>50491</c:v>
                </c:pt>
                <c:pt idx="83">
                  <c:v>90467</c:v>
                </c:pt>
                <c:pt idx="84">
                  <c:v>60702</c:v>
                </c:pt>
                <c:pt idx="85">
                  <c:v>132627</c:v>
                </c:pt>
                <c:pt idx="86">
                  <c:v>74733</c:v>
                </c:pt>
                <c:pt idx="87">
                  <c:v>93653</c:v>
                </c:pt>
                <c:pt idx="88">
                  <c:v>99783</c:v>
                </c:pt>
                <c:pt idx="89">
                  <c:v>137237</c:v>
                </c:pt>
                <c:pt idx="90">
                  <c:v>53590</c:v>
                </c:pt>
                <c:pt idx="91">
                  <c:v>141943</c:v>
                </c:pt>
                <c:pt idx="92">
                  <c:v>166277</c:v>
                </c:pt>
                <c:pt idx="93">
                  <c:v>66899</c:v>
                </c:pt>
                <c:pt idx="94">
                  <c:v>148293</c:v>
                </c:pt>
                <c:pt idx="95">
                  <c:v>109480</c:v>
                </c:pt>
                <c:pt idx="96">
                  <c:v>97727</c:v>
                </c:pt>
                <c:pt idx="97">
                  <c:v>119205</c:v>
                </c:pt>
                <c:pt idx="98">
                  <c:v>106892</c:v>
                </c:pt>
                <c:pt idx="99">
                  <c:v>62723</c:v>
                </c:pt>
                <c:pt idx="100">
                  <c:v>92035</c:v>
                </c:pt>
                <c:pt idx="101">
                  <c:v>148874</c:v>
                </c:pt>
                <c:pt idx="102">
                  <c:v>68052</c:v>
                </c:pt>
                <c:pt idx="103">
                  <c:v>131641</c:v>
                </c:pt>
                <c:pt idx="104">
                  <c:v>134670</c:v>
                </c:pt>
                <c:pt idx="105">
                  <c:v>75249</c:v>
                </c:pt>
                <c:pt idx="106">
                  <c:v>68335</c:v>
                </c:pt>
                <c:pt idx="107">
                  <c:v>94429</c:v>
                </c:pt>
                <c:pt idx="108">
                  <c:v>76471</c:v>
                </c:pt>
                <c:pt idx="109">
                  <c:v>122524</c:v>
                </c:pt>
                <c:pt idx="110">
                  <c:v>77832</c:v>
                </c:pt>
                <c:pt idx="111">
                  <c:v>89767</c:v>
                </c:pt>
                <c:pt idx="112">
                  <c:v>151883</c:v>
                </c:pt>
                <c:pt idx="113">
                  <c:v>128900</c:v>
                </c:pt>
                <c:pt idx="114">
                  <c:v>50192</c:v>
                </c:pt>
                <c:pt idx="115">
                  <c:v>105321</c:v>
                </c:pt>
                <c:pt idx="116">
                  <c:v>56563</c:v>
                </c:pt>
                <c:pt idx="117">
                  <c:v>134886</c:v>
                </c:pt>
                <c:pt idx="118">
                  <c:v>95905</c:v>
                </c:pt>
                <c:pt idx="119">
                  <c:v>99375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F-46AF-9172-D48A142F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75423"/>
        <c:axId val="151273503"/>
      </c:scatterChart>
      <c:valAx>
        <c:axId val="15127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Marketing</a:t>
                </a:r>
                <a:r>
                  <a:rPr lang="en-US" baseline="0"/>
                  <a:t> Spend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73503"/>
        <c:crosses val="autoZero"/>
        <c:crossBetween val="midCat"/>
      </c:valAx>
      <c:valAx>
        <c:axId val="15127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7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0.19964610673665792"/>
                  <c:y val="0.146212452610090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Dataset!$L$2:$L$121</c:f>
              <c:numCache>
                <c:formatCode>General</c:formatCode>
                <c:ptCount val="120"/>
                <c:pt idx="0">
                  <c:v>61121</c:v>
                </c:pt>
                <c:pt idx="1">
                  <c:v>43835</c:v>
                </c:pt>
                <c:pt idx="2">
                  <c:v>70512</c:v>
                </c:pt>
                <c:pt idx="3">
                  <c:v>89221</c:v>
                </c:pt>
                <c:pt idx="4">
                  <c:v>67665</c:v>
                </c:pt>
                <c:pt idx="5">
                  <c:v>92366</c:v>
                </c:pt>
                <c:pt idx="6">
                  <c:v>50059</c:v>
                </c:pt>
                <c:pt idx="7">
                  <c:v>50102</c:v>
                </c:pt>
                <c:pt idx="8">
                  <c:v>70233</c:v>
                </c:pt>
                <c:pt idx="9">
                  <c:v>65925</c:v>
                </c:pt>
                <c:pt idx="10">
                  <c:v>28593</c:v>
                </c:pt>
                <c:pt idx="11">
                  <c:v>68826</c:v>
                </c:pt>
                <c:pt idx="12">
                  <c:v>43439</c:v>
                </c:pt>
                <c:pt idx="13">
                  <c:v>82117</c:v>
                </c:pt>
                <c:pt idx="14">
                  <c:v>61417</c:v>
                </c:pt>
                <c:pt idx="15">
                  <c:v>53986</c:v>
                </c:pt>
                <c:pt idx="16">
                  <c:v>77081</c:v>
                </c:pt>
                <c:pt idx="17">
                  <c:v>33337</c:v>
                </c:pt>
                <c:pt idx="18">
                  <c:v>78527</c:v>
                </c:pt>
                <c:pt idx="19">
                  <c:v>81388</c:v>
                </c:pt>
                <c:pt idx="20">
                  <c:v>36689</c:v>
                </c:pt>
                <c:pt idx="21">
                  <c:v>86111</c:v>
                </c:pt>
                <c:pt idx="22">
                  <c:v>82687</c:v>
                </c:pt>
                <c:pt idx="23">
                  <c:v>25845</c:v>
                </c:pt>
                <c:pt idx="24">
                  <c:v>26320</c:v>
                </c:pt>
                <c:pt idx="25">
                  <c:v>39113</c:v>
                </c:pt>
                <c:pt idx="26">
                  <c:v>89290</c:v>
                </c:pt>
                <c:pt idx="27">
                  <c:v>26703</c:v>
                </c:pt>
                <c:pt idx="28">
                  <c:v>57805</c:v>
                </c:pt>
                <c:pt idx="29">
                  <c:v>41288</c:v>
                </c:pt>
                <c:pt idx="30">
                  <c:v>86437</c:v>
                </c:pt>
                <c:pt idx="31">
                  <c:v>81015</c:v>
                </c:pt>
                <c:pt idx="32">
                  <c:v>44414</c:v>
                </c:pt>
                <c:pt idx="33">
                  <c:v>84212</c:v>
                </c:pt>
                <c:pt idx="34">
                  <c:v>78026</c:v>
                </c:pt>
                <c:pt idx="35">
                  <c:v>52347</c:v>
                </c:pt>
                <c:pt idx="36">
                  <c:v>76285</c:v>
                </c:pt>
                <c:pt idx="37">
                  <c:v>80789</c:v>
                </c:pt>
                <c:pt idx="38">
                  <c:v>29356</c:v>
                </c:pt>
                <c:pt idx="39">
                  <c:v>58188</c:v>
                </c:pt>
                <c:pt idx="40">
                  <c:v>80314</c:v>
                </c:pt>
                <c:pt idx="41">
                  <c:v>44938</c:v>
                </c:pt>
                <c:pt idx="42">
                  <c:v>24485</c:v>
                </c:pt>
                <c:pt idx="43">
                  <c:v>60359</c:v>
                </c:pt>
                <c:pt idx="44">
                  <c:v>32827</c:v>
                </c:pt>
                <c:pt idx="45">
                  <c:v>30488</c:v>
                </c:pt>
                <c:pt idx="46">
                  <c:v>26750</c:v>
                </c:pt>
                <c:pt idx="47">
                  <c:v>76359</c:v>
                </c:pt>
                <c:pt idx="48">
                  <c:v>79816</c:v>
                </c:pt>
                <c:pt idx="49">
                  <c:v>72546</c:v>
                </c:pt>
                <c:pt idx="50">
                  <c:v>53961</c:v>
                </c:pt>
                <c:pt idx="51">
                  <c:v>81496</c:v>
                </c:pt>
                <c:pt idx="52">
                  <c:v>22131</c:v>
                </c:pt>
                <c:pt idx="53">
                  <c:v>92025</c:v>
                </c:pt>
                <c:pt idx="54">
                  <c:v>73199</c:v>
                </c:pt>
                <c:pt idx="55">
                  <c:v>76438</c:v>
                </c:pt>
                <c:pt idx="56">
                  <c:v>24561</c:v>
                </c:pt>
                <c:pt idx="57">
                  <c:v>28801</c:v>
                </c:pt>
                <c:pt idx="58">
                  <c:v>56703</c:v>
                </c:pt>
                <c:pt idx="59">
                  <c:v>56787</c:v>
                </c:pt>
                <c:pt idx="60">
                  <c:v>70865</c:v>
                </c:pt>
                <c:pt idx="61">
                  <c:v>65984</c:v>
                </c:pt>
                <c:pt idx="62">
                  <c:v>33102</c:v>
                </c:pt>
                <c:pt idx="63">
                  <c:v>89780</c:v>
                </c:pt>
                <c:pt idx="64">
                  <c:v>89636</c:v>
                </c:pt>
                <c:pt idx="65">
                  <c:v>34942</c:v>
                </c:pt>
                <c:pt idx="66">
                  <c:v>72783</c:v>
                </c:pt>
                <c:pt idx="67">
                  <c:v>31664</c:v>
                </c:pt>
                <c:pt idx="68">
                  <c:v>74431</c:v>
                </c:pt>
                <c:pt idx="69">
                  <c:v>53686</c:v>
                </c:pt>
                <c:pt idx="70">
                  <c:v>46519</c:v>
                </c:pt>
                <c:pt idx="71">
                  <c:v>51743</c:v>
                </c:pt>
                <c:pt idx="72">
                  <c:v>29824</c:v>
                </c:pt>
                <c:pt idx="73">
                  <c:v>91053</c:v>
                </c:pt>
                <c:pt idx="74">
                  <c:v>63208</c:v>
                </c:pt>
                <c:pt idx="75">
                  <c:v>59478</c:v>
                </c:pt>
                <c:pt idx="76">
                  <c:v>37721</c:v>
                </c:pt>
                <c:pt idx="77">
                  <c:v>43228</c:v>
                </c:pt>
                <c:pt idx="78">
                  <c:v>44445</c:v>
                </c:pt>
                <c:pt idx="79">
                  <c:v>96538</c:v>
                </c:pt>
                <c:pt idx="80">
                  <c:v>60115</c:v>
                </c:pt>
                <c:pt idx="81">
                  <c:v>84299</c:v>
                </c:pt>
                <c:pt idx="82">
                  <c:v>33483</c:v>
                </c:pt>
                <c:pt idx="83">
                  <c:v>49842</c:v>
                </c:pt>
                <c:pt idx="84">
                  <c:v>29731</c:v>
                </c:pt>
                <c:pt idx="85">
                  <c:v>80963</c:v>
                </c:pt>
                <c:pt idx="86">
                  <c:v>48692</c:v>
                </c:pt>
                <c:pt idx="87">
                  <c:v>38736</c:v>
                </c:pt>
                <c:pt idx="88">
                  <c:v>53329</c:v>
                </c:pt>
                <c:pt idx="89">
                  <c:v>93694</c:v>
                </c:pt>
                <c:pt idx="90">
                  <c:v>23609</c:v>
                </c:pt>
                <c:pt idx="91">
                  <c:v>81575</c:v>
                </c:pt>
                <c:pt idx="92">
                  <c:v>86366</c:v>
                </c:pt>
                <c:pt idx="93">
                  <c:v>48516</c:v>
                </c:pt>
                <c:pt idx="94">
                  <c:v>79027</c:v>
                </c:pt>
                <c:pt idx="95">
                  <c:v>54981</c:v>
                </c:pt>
                <c:pt idx="96">
                  <c:v>61857</c:v>
                </c:pt>
                <c:pt idx="97">
                  <c:v>70426</c:v>
                </c:pt>
                <c:pt idx="98">
                  <c:v>67443</c:v>
                </c:pt>
                <c:pt idx="99">
                  <c:v>29139</c:v>
                </c:pt>
                <c:pt idx="100">
                  <c:v>60167</c:v>
                </c:pt>
                <c:pt idx="101">
                  <c:v>83720</c:v>
                </c:pt>
                <c:pt idx="102">
                  <c:v>44258</c:v>
                </c:pt>
                <c:pt idx="103">
                  <c:v>80760</c:v>
                </c:pt>
                <c:pt idx="104">
                  <c:v>81160</c:v>
                </c:pt>
                <c:pt idx="105">
                  <c:v>26994</c:v>
                </c:pt>
                <c:pt idx="106">
                  <c:v>37716</c:v>
                </c:pt>
                <c:pt idx="107">
                  <c:v>58489</c:v>
                </c:pt>
                <c:pt idx="108">
                  <c:v>43280</c:v>
                </c:pt>
                <c:pt idx="109">
                  <c:v>79665</c:v>
                </c:pt>
                <c:pt idx="110">
                  <c:v>45196</c:v>
                </c:pt>
                <c:pt idx="111">
                  <c:v>58438</c:v>
                </c:pt>
                <c:pt idx="112">
                  <c:v>80170</c:v>
                </c:pt>
                <c:pt idx="113">
                  <c:v>73410</c:v>
                </c:pt>
                <c:pt idx="114">
                  <c:v>31334</c:v>
                </c:pt>
                <c:pt idx="115">
                  <c:v>63593</c:v>
                </c:pt>
                <c:pt idx="116">
                  <c:v>37193</c:v>
                </c:pt>
                <c:pt idx="117">
                  <c:v>91214</c:v>
                </c:pt>
                <c:pt idx="118">
                  <c:v>60579</c:v>
                </c:pt>
                <c:pt idx="119">
                  <c:v>50115</c:v>
                </c:pt>
              </c:numCache>
            </c:numRef>
          </c:xVal>
          <c:yVal>
            <c:numRef>
              <c:f>Dataset!$Q$2:$Q$121</c:f>
              <c:numCache>
                <c:formatCode>General</c:formatCode>
                <c:ptCount val="120"/>
                <c:pt idx="0">
                  <c:v>66</c:v>
                </c:pt>
                <c:pt idx="1">
                  <c:v>52</c:v>
                </c:pt>
                <c:pt idx="2">
                  <c:v>90</c:v>
                </c:pt>
                <c:pt idx="3">
                  <c:v>104</c:v>
                </c:pt>
                <c:pt idx="4">
                  <c:v>77</c:v>
                </c:pt>
                <c:pt idx="5">
                  <c:v>92</c:v>
                </c:pt>
                <c:pt idx="6">
                  <c:v>60</c:v>
                </c:pt>
                <c:pt idx="7">
                  <c:v>75</c:v>
                </c:pt>
                <c:pt idx="8">
                  <c:v>85</c:v>
                </c:pt>
                <c:pt idx="9">
                  <c:v>71</c:v>
                </c:pt>
                <c:pt idx="10">
                  <c:v>48</c:v>
                </c:pt>
                <c:pt idx="11">
                  <c:v>76</c:v>
                </c:pt>
                <c:pt idx="12">
                  <c:v>65</c:v>
                </c:pt>
                <c:pt idx="13">
                  <c:v>87</c:v>
                </c:pt>
                <c:pt idx="14">
                  <c:v>63</c:v>
                </c:pt>
                <c:pt idx="15">
                  <c:v>74</c:v>
                </c:pt>
                <c:pt idx="16">
                  <c:v>95</c:v>
                </c:pt>
                <c:pt idx="17">
                  <c:v>52</c:v>
                </c:pt>
                <c:pt idx="18">
                  <c:v>93</c:v>
                </c:pt>
                <c:pt idx="19">
                  <c:v>86</c:v>
                </c:pt>
                <c:pt idx="20">
                  <c:v>38</c:v>
                </c:pt>
                <c:pt idx="21">
                  <c:v>89</c:v>
                </c:pt>
                <c:pt idx="22">
                  <c:v>98</c:v>
                </c:pt>
                <c:pt idx="23">
                  <c:v>36</c:v>
                </c:pt>
                <c:pt idx="24">
                  <c:v>55</c:v>
                </c:pt>
                <c:pt idx="25">
                  <c:v>35</c:v>
                </c:pt>
                <c:pt idx="26">
                  <c:v>85</c:v>
                </c:pt>
                <c:pt idx="27">
                  <c:v>47</c:v>
                </c:pt>
                <c:pt idx="28">
                  <c:v>59</c:v>
                </c:pt>
                <c:pt idx="29">
                  <c:v>63</c:v>
                </c:pt>
                <c:pt idx="30">
                  <c:v>90</c:v>
                </c:pt>
                <c:pt idx="31">
                  <c:v>87</c:v>
                </c:pt>
                <c:pt idx="32">
                  <c:v>51</c:v>
                </c:pt>
                <c:pt idx="33">
                  <c:v>88</c:v>
                </c:pt>
                <c:pt idx="34">
                  <c:v>72</c:v>
                </c:pt>
                <c:pt idx="35">
                  <c:v>51</c:v>
                </c:pt>
                <c:pt idx="36">
                  <c:v>81</c:v>
                </c:pt>
                <c:pt idx="37">
                  <c:v>89</c:v>
                </c:pt>
                <c:pt idx="38">
                  <c:v>36</c:v>
                </c:pt>
                <c:pt idx="39">
                  <c:v>62</c:v>
                </c:pt>
                <c:pt idx="40">
                  <c:v>70</c:v>
                </c:pt>
                <c:pt idx="41">
                  <c:v>49</c:v>
                </c:pt>
                <c:pt idx="42">
                  <c:v>47</c:v>
                </c:pt>
                <c:pt idx="43">
                  <c:v>69</c:v>
                </c:pt>
                <c:pt idx="44">
                  <c:v>40</c:v>
                </c:pt>
                <c:pt idx="45">
                  <c:v>32</c:v>
                </c:pt>
                <c:pt idx="46">
                  <c:v>31</c:v>
                </c:pt>
                <c:pt idx="47">
                  <c:v>78</c:v>
                </c:pt>
                <c:pt idx="48">
                  <c:v>86</c:v>
                </c:pt>
                <c:pt idx="49">
                  <c:v>74</c:v>
                </c:pt>
                <c:pt idx="50">
                  <c:v>68</c:v>
                </c:pt>
                <c:pt idx="51">
                  <c:v>91</c:v>
                </c:pt>
                <c:pt idx="52">
                  <c:v>38</c:v>
                </c:pt>
                <c:pt idx="53">
                  <c:v>112</c:v>
                </c:pt>
                <c:pt idx="54">
                  <c:v>96</c:v>
                </c:pt>
                <c:pt idx="55">
                  <c:v>84</c:v>
                </c:pt>
                <c:pt idx="56">
                  <c:v>42</c:v>
                </c:pt>
                <c:pt idx="57">
                  <c:v>42</c:v>
                </c:pt>
                <c:pt idx="58">
                  <c:v>60</c:v>
                </c:pt>
                <c:pt idx="59">
                  <c:v>65</c:v>
                </c:pt>
                <c:pt idx="60">
                  <c:v>78</c:v>
                </c:pt>
                <c:pt idx="61">
                  <c:v>76</c:v>
                </c:pt>
                <c:pt idx="62">
                  <c:v>59</c:v>
                </c:pt>
                <c:pt idx="63">
                  <c:v>93</c:v>
                </c:pt>
                <c:pt idx="64">
                  <c:v>86</c:v>
                </c:pt>
                <c:pt idx="65">
                  <c:v>59</c:v>
                </c:pt>
                <c:pt idx="66">
                  <c:v>73</c:v>
                </c:pt>
                <c:pt idx="67">
                  <c:v>46</c:v>
                </c:pt>
                <c:pt idx="68">
                  <c:v>96</c:v>
                </c:pt>
                <c:pt idx="69">
                  <c:v>69</c:v>
                </c:pt>
                <c:pt idx="70">
                  <c:v>57</c:v>
                </c:pt>
                <c:pt idx="71">
                  <c:v>64</c:v>
                </c:pt>
                <c:pt idx="72">
                  <c:v>50</c:v>
                </c:pt>
                <c:pt idx="73">
                  <c:v>102</c:v>
                </c:pt>
                <c:pt idx="74">
                  <c:v>69</c:v>
                </c:pt>
                <c:pt idx="75">
                  <c:v>74</c:v>
                </c:pt>
                <c:pt idx="76">
                  <c:v>51</c:v>
                </c:pt>
                <c:pt idx="77">
                  <c:v>63</c:v>
                </c:pt>
                <c:pt idx="78">
                  <c:v>57</c:v>
                </c:pt>
                <c:pt idx="79">
                  <c:v>111</c:v>
                </c:pt>
                <c:pt idx="80">
                  <c:v>75</c:v>
                </c:pt>
                <c:pt idx="81">
                  <c:v>80</c:v>
                </c:pt>
                <c:pt idx="82">
                  <c:v>46</c:v>
                </c:pt>
                <c:pt idx="83">
                  <c:v>69</c:v>
                </c:pt>
                <c:pt idx="84">
                  <c:v>38</c:v>
                </c:pt>
                <c:pt idx="85">
                  <c:v>90</c:v>
                </c:pt>
                <c:pt idx="86">
                  <c:v>54</c:v>
                </c:pt>
                <c:pt idx="87">
                  <c:v>69</c:v>
                </c:pt>
                <c:pt idx="88">
                  <c:v>66</c:v>
                </c:pt>
                <c:pt idx="89">
                  <c:v>95</c:v>
                </c:pt>
                <c:pt idx="90">
                  <c:v>38</c:v>
                </c:pt>
                <c:pt idx="91">
                  <c:v>86</c:v>
                </c:pt>
                <c:pt idx="92">
                  <c:v>112</c:v>
                </c:pt>
                <c:pt idx="93">
                  <c:v>51</c:v>
                </c:pt>
                <c:pt idx="94">
                  <c:v>101</c:v>
                </c:pt>
                <c:pt idx="95">
                  <c:v>66</c:v>
                </c:pt>
                <c:pt idx="96">
                  <c:v>68</c:v>
                </c:pt>
                <c:pt idx="97">
                  <c:v>71</c:v>
                </c:pt>
                <c:pt idx="98">
                  <c:v>76</c:v>
                </c:pt>
                <c:pt idx="99">
                  <c:v>49</c:v>
                </c:pt>
                <c:pt idx="100">
                  <c:v>65</c:v>
                </c:pt>
                <c:pt idx="101">
                  <c:v>89</c:v>
                </c:pt>
                <c:pt idx="102">
                  <c:v>52</c:v>
                </c:pt>
                <c:pt idx="103">
                  <c:v>80</c:v>
                </c:pt>
                <c:pt idx="104">
                  <c:v>85</c:v>
                </c:pt>
                <c:pt idx="105">
                  <c:v>59</c:v>
                </c:pt>
                <c:pt idx="106">
                  <c:v>56</c:v>
                </c:pt>
                <c:pt idx="107">
                  <c:v>69</c:v>
                </c:pt>
                <c:pt idx="108">
                  <c:v>60</c:v>
                </c:pt>
                <c:pt idx="109">
                  <c:v>85</c:v>
                </c:pt>
                <c:pt idx="110">
                  <c:v>54</c:v>
                </c:pt>
                <c:pt idx="111">
                  <c:v>60</c:v>
                </c:pt>
                <c:pt idx="112">
                  <c:v>99</c:v>
                </c:pt>
                <c:pt idx="113">
                  <c:v>80</c:v>
                </c:pt>
                <c:pt idx="114">
                  <c:v>38</c:v>
                </c:pt>
                <c:pt idx="115">
                  <c:v>77</c:v>
                </c:pt>
                <c:pt idx="116">
                  <c:v>39</c:v>
                </c:pt>
                <c:pt idx="117">
                  <c:v>88</c:v>
                </c:pt>
                <c:pt idx="118">
                  <c:v>72</c:v>
                </c:pt>
                <c:pt idx="119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7-43D5-8193-3AACA05C3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1743"/>
        <c:axId val="151292223"/>
      </c:scatterChart>
      <c:valAx>
        <c:axId val="15129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Website_Traffic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92223"/>
        <c:crosses val="autoZero"/>
        <c:crossBetween val="midCat"/>
      </c:valAx>
      <c:valAx>
        <c:axId val="1512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Orders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9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426727909011375E-2"/>
                  <c:y val="0.264886993292505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Dataset!$M$2:$M$121</c:f>
              <c:numCache>
                <c:formatCode>General</c:formatCode>
                <c:ptCount val="120"/>
                <c:pt idx="0">
                  <c:v>172</c:v>
                </c:pt>
                <c:pt idx="1">
                  <c:v>90</c:v>
                </c:pt>
                <c:pt idx="2">
                  <c:v>147</c:v>
                </c:pt>
                <c:pt idx="3">
                  <c:v>110</c:v>
                </c:pt>
                <c:pt idx="4">
                  <c:v>82</c:v>
                </c:pt>
                <c:pt idx="5">
                  <c:v>41</c:v>
                </c:pt>
                <c:pt idx="6">
                  <c:v>123</c:v>
                </c:pt>
                <c:pt idx="7">
                  <c:v>151</c:v>
                </c:pt>
                <c:pt idx="8">
                  <c:v>150</c:v>
                </c:pt>
                <c:pt idx="9">
                  <c:v>89</c:v>
                </c:pt>
                <c:pt idx="10">
                  <c:v>89</c:v>
                </c:pt>
                <c:pt idx="11">
                  <c:v>104</c:v>
                </c:pt>
                <c:pt idx="12">
                  <c:v>69</c:v>
                </c:pt>
                <c:pt idx="13">
                  <c:v>91</c:v>
                </c:pt>
                <c:pt idx="14">
                  <c:v>138</c:v>
                </c:pt>
                <c:pt idx="15">
                  <c:v>140</c:v>
                </c:pt>
                <c:pt idx="16">
                  <c:v>150</c:v>
                </c:pt>
                <c:pt idx="17">
                  <c:v>125</c:v>
                </c:pt>
                <c:pt idx="18">
                  <c:v>138</c:v>
                </c:pt>
                <c:pt idx="19">
                  <c:v>46</c:v>
                </c:pt>
                <c:pt idx="20">
                  <c:v>55</c:v>
                </c:pt>
                <c:pt idx="21">
                  <c:v>75</c:v>
                </c:pt>
                <c:pt idx="22">
                  <c:v>94</c:v>
                </c:pt>
                <c:pt idx="23">
                  <c:v>101</c:v>
                </c:pt>
                <c:pt idx="24">
                  <c:v>138</c:v>
                </c:pt>
                <c:pt idx="25">
                  <c:v>116</c:v>
                </c:pt>
                <c:pt idx="26">
                  <c:v>105</c:v>
                </c:pt>
                <c:pt idx="27">
                  <c:v>96</c:v>
                </c:pt>
                <c:pt idx="28">
                  <c:v>89</c:v>
                </c:pt>
                <c:pt idx="29">
                  <c:v>180</c:v>
                </c:pt>
                <c:pt idx="30">
                  <c:v>94</c:v>
                </c:pt>
                <c:pt idx="31">
                  <c:v>51</c:v>
                </c:pt>
                <c:pt idx="32">
                  <c:v>57</c:v>
                </c:pt>
                <c:pt idx="33">
                  <c:v>61</c:v>
                </c:pt>
                <c:pt idx="34">
                  <c:v>94</c:v>
                </c:pt>
                <c:pt idx="35">
                  <c:v>110</c:v>
                </c:pt>
                <c:pt idx="36">
                  <c:v>43</c:v>
                </c:pt>
                <c:pt idx="37">
                  <c:v>133</c:v>
                </c:pt>
                <c:pt idx="38">
                  <c:v>57</c:v>
                </c:pt>
                <c:pt idx="39">
                  <c:v>179</c:v>
                </c:pt>
                <c:pt idx="40">
                  <c:v>44</c:v>
                </c:pt>
                <c:pt idx="41">
                  <c:v>147</c:v>
                </c:pt>
                <c:pt idx="42">
                  <c:v>90</c:v>
                </c:pt>
                <c:pt idx="43">
                  <c:v>83</c:v>
                </c:pt>
                <c:pt idx="44">
                  <c:v>62</c:v>
                </c:pt>
                <c:pt idx="45">
                  <c:v>60</c:v>
                </c:pt>
                <c:pt idx="46">
                  <c:v>102</c:v>
                </c:pt>
                <c:pt idx="47">
                  <c:v>130</c:v>
                </c:pt>
                <c:pt idx="48">
                  <c:v>121</c:v>
                </c:pt>
                <c:pt idx="49">
                  <c:v>60</c:v>
                </c:pt>
                <c:pt idx="50">
                  <c:v>80</c:v>
                </c:pt>
                <c:pt idx="51">
                  <c:v>124</c:v>
                </c:pt>
                <c:pt idx="52">
                  <c:v>166</c:v>
                </c:pt>
                <c:pt idx="53">
                  <c:v>138</c:v>
                </c:pt>
                <c:pt idx="54">
                  <c:v>177</c:v>
                </c:pt>
                <c:pt idx="55">
                  <c:v>86</c:v>
                </c:pt>
                <c:pt idx="56">
                  <c:v>70</c:v>
                </c:pt>
                <c:pt idx="57">
                  <c:v>178</c:v>
                </c:pt>
                <c:pt idx="58">
                  <c:v>166</c:v>
                </c:pt>
                <c:pt idx="59">
                  <c:v>59</c:v>
                </c:pt>
                <c:pt idx="60">
                  <c:v>58</c:v>
                </c:pt>
                <c:pt idx="61">
                  <c:v>156</c:v>
                </c:pt>
                <c:pt idx="62">
                  <c:v>145</c:v>
                </c:pt>
                <c:pt idx="63">
                  <c:v>97</c:v>
                </c:pt>
                <c:pt idx="64">
                  <c:v>76</c:v>
                </c:pt>
                <c:pt idx="65">
                  <c:v>173</c:v>
                </c:pt>
                <c:pt idx="66">
                  <c:v>65</c:v>
                </c:pt>
                <c:pt idx="67">
                  <c:v>155</c:v>
                </c:pt>
                <c:pt idx="68">
                  <c:v>120</c:v>
                </c:pt>
                <c:pt idx="69">
                  <c:v>170</c:v>
                </c:pt>
                <c:pt idx="70">
                  <c:v>157</c:v>
                </c:pt>
                <c:pt idx="71">
                  <c:v>73</c:v>
                </c:pt>
                <c:pt idx="72">
                  <c:v>137</c:v>
                </c:pt>
                <c:pt idx="73">
                  <c:v>89</c:v>
                </c:pt>
                <c:pt idx="74">
                  <c:v>75</c:v>
                </c:pt>
                <c:pt idx="75">
                  <c:v>80</c:v>
                </c:pt>
                <c:pt idx="76">
                  <c:v>70</c:v>
                </c:pt>
                <c:pt idx="77">
                  <c:v>159</c:v>
                </c:pt>
                <c:pt idx="78">
                  <c:v>158</c:v>
                </c:pt>
                <c:pt idx="79">
                  <c:v>167</c:v>
                </c:pt>
                <c:pt idx="80">
                  <c:v>100</c:v>
                </c:pt>
                <c:pt idx="81">
                  <c:v>53</c:v>
                </c:pt>
                <c:pt idx="82">
                  <c:v>49</c:v>
                </c:pt>
                <c:pt idx="83">
                  <c:v>125</c:v>
                </c:pt>
                <c:pt idx="84">
                  <c:v>149</c:v>
                </c:pt>
                <c:pt idx="85">
                  <c:v>159</c:v>
                </c:pt>
                <c:pt idx="86">
                  <c:v>139</c:v>
                </c:pt>
                <c:pt idx="87">
                  <c:v>178</c:v>
                </c:pt>
                <c:pt idx="88">
                  <c:v>131</c:v>
                </c:pt>
                <c:pt idx="89">
                  <c:v>48</c:v>
                </c:pt>
                <c:pt idx="90">
                  <c:v>68</c:v>
                </c:pt>
                <c:pt idx="91">
                  <c:v>94</c:v>
                </c:pt>
                <c:pt idx="92">
                  <c:v>176</c:v>
                </c:pt>
                <c:pt idx="93">
                  <c:v>49</c:v>
                </c:pt>
                <c:pt idx="94">
                  <c:v>117</c:v>
                </c:pt>
                <c:pt idx="95">
                  <c:v>129</c:v>
                </c:pt>
                <c:pt idx="96">
                  <c:v>106</c:v>
                </c:pt>
                <c:pt idx="97">
                  <c:v>178</c:v>
                </c:pt>
                <c:pt idx="98">
                  <c:v>59</c:v>
                </c:pt>
                <c:pt idx="99">
                  <c:v>147</c:v>
                </c:pt>
                <c:pt idx="100">
                  <c:v>83</c:v>
                </c:pt>
                <c:pt idx="101">
                  <c:v>84</c:v>
                </c:pt>
                <c:pt idx="102">
                  <c:v>84</c:v>
                </c:pt>
                <c:pt idx="103">
                  <c:v>103</c:v>
                </c:pt>
                <c:pt idx="104">
                  <c:v>130</c:v>
                </c:pt>
                <c:pt idx="105">
                  <c:v>178</c:v>
                </c:pt>
                <c:pt idx="106">
                  <c:v>137</c:v>
                </c:pt>
                <c:pt idx="107">
                  <c:v>177</c:v>
                </c:pt>
                <c:pt idx="108">
                  <c:v>114</c:v>
                </c:pt>
                <c:pt idx="109">
                  <c:v>71</c:v>
                </c:pt>
                <c:pt idx="110">
                  <c:v>135</c:v>
                </c:pt>
                <c:pt idx="111">
                  <c:v>102</c:v>
                </c:pt>
                <c:pt idx="112">
                  <c:v>170</c:v>
                </c:pt>
                <c:pt idx="113">
                  <c:v>153</c:v>
                </c:pt>
                <c:pt idx="114">
                  <c:v>147</c:v>
                </c:pt>
                <c:pt idx="115">
                  <c:v>55</c:v>
                </c:pt>
                <c:pt idx="116">
                  <c:v>40</c:v>
                </c:pt>
                <c:pt idx="117">
                  <c:v>49</c:v>
                </c:pt>
                <c:pt idx="118">
                  <c:v>86</c:v>
                </c:pt>
                <c:pt idx="119">
                  <c:v>76</c:v>
                </c:pt>
              </c:numCache>
            </c:numRef>
          </c:xVal>
          <c:yVal>
            <c:numRef>
              <c:f>Dataset!$N$2:$N$121</c:f>
              <c:numCache>
                <c:formatCode>_("$"* #,##0.00_);_("$"* \(#,##0.00\);_("$"* "-"??_);_(@_)</c:formatCode>
                <c:ptCount val="120"/>
                <c:pt idx="0">
                  <c:v>105211</c:v>
                </c:pt>
                <c:pt idx="1">
                  <c:v>74908</c:v>
                </c:pt>
                <c:pt idx="2">
                  <c:v>138323</c:v>
                </c:pt>
                <c:pt idx="3">
                  <c:v>153419</c:v>
                </c:pt>
                <c:pt idx="4">
                  <c:v>108379</c:v>
                </c:pt>
                <c:pt idx="5">
                  <c:v>150281</c:v>
                </c:pt>
                <c:pt idx="6">
                  <c:v>80365</c:v>
                </c:pt>
                <c:pt idx="7">
                  <c:v>103471</c:v>
                </c:pt>
                <c:pt idx="8">
                  <c:v>127323</c:v>
                </c:pt>
                <c:pt idx="9">
                  <c:v>108347</c:v>
                </c:pt>
                <c:pt idx="10">
                  <c:v>62422</c:v>
                </c:pt>
                <c:pt idx="11">
                  <c:v>119350</c:v>
                </c:pt>
                <c:pt idx="12">
                  <c:v>85353</c:v>
                </c:pt>
                <c:pt idx="13">
                  <c:v>145118</c:v>
                </c:pt>
                <c:pt idx="14">
                  <c:v>93248</c:v>
                </c:pt>
                <c:pt idx="15">
                  <c:v>99669</c:v>
                </c:pt>
                <c:pt idx="16">
                  <c:v>144689</c:v>
                </c:pt>
                <c:pt idx="17">
                  <c:v>63367</c:v>
                </c:pt>
                <c:pt idx="18">
                  <c:v>153371</c:v>
                </c:pt>
                <c:pt idx="19">
                  <c:v>145224</c:v>
                </c:pt>
                <c:pt idx="20">
                  <c:v>49617</c:v>
                </c:pt>
                <c:pt idx="21">
                  <c:v>132277</c:v>
                </c:pt>
                <c:pt idx="22">
                  <c:v>148707</c:v>
                </c:pt>
                <c:pt idx="23">
                  <c:v>34438</c:v>
                </c:pt>
                <c:pt idx="24">
                  <c:v>67595</c:v>
                </c:pt>
                <c:pt idx="25">
                  <c:v>53764</c:v>
                </c:pt>
                <c:pt idx="26">
                  <c:v>144548</c:v>
                </c:pt>
                <c:pt idx="27">
                  <c:v>59841</c:v>
                </c:pt>
                <c:pt idx="28">
                  <c:v>83919</c:v>
                </c:pt>
                <c:pt idx="29">
                  <c:v>80935</c:v>
                </c:pt>
                <c:pt idx="30">
                  <c:v>134309</c:v>
                </c:pt>
                <c:pt idx="31">
                  <c:v>141157</c:v>
                </c:pt>
                <c:pt idx="32">
                  <c:v>76444</c:v>
                </c:pt>
                <c:pt idx="33">
                  <c:v>140648</c:v>
                </c:pt>
                <c:pt idx="34">
                  <c:v>117502</c:v>
                </c:pt>
                <c:pt idx="35">
                  <c:v>80111</c:v>
                </c:pt>
                <c:pt idx="36">
                  <c:v>126278</c:v>
                </c:pt>
                <c:pt idx="37">
                  <c:v>134796</c:v>
                </c:pt>
                <c:pt idx="38">
                  <c:v>46911</c:v>
                </c:pt>
                <c:pt idx="39">
                  <c:v>97429</c:v>
                </c:pt>
                <c:pt idx="40">
                  <c:v>117269</c:v>
                </c:pt>
                <c:pt idx="41">
                  <c:v>73609</c:v>
                </c:pt>
                <c:pt idx="42">
                  <c:v>56812</c:v>
                </c:pt>
                <c:pt idx="43">
                  <c:v>92441</c:v>
                </c:pt>
                <c:pt idx="44">
                  <c:v>60874</c:v>
                </c:pt>
                <c:pt idx="45">
                  <c:v>38436</c:v>
                </c:pt>
                <c:pt idx="46">
                  <c:v>46870</c:v>
                </c:pt>
                <c:pt idx="47">
                  <c:v>132446</c:v>
                </c:pt>
                <c:pt idx="48">
                  <c:v>141767</c:v>
                </c:pt>
                <c:pt idx="49">
                  <c:v>109494</c:v>
                </c:pt>
                <c:pt idx="50">
                  <c:v>86793</c:v>
                </c:pt>
                <c:pt idx="51">
                  <c:v>131784</c:v>
                </c:pt>
                <c:pt idx="52">
                  <c:v>54724</c:v>
                </c:pt>
                <c:pt idx="53">
                  <c:v>175118</c:v>
                </c:pt>
                <c:pt idx="54">
                  <c:v>147858</c:v>
                </c:pt>
                <c:pt idx="55">
                  <c:v>139814</c:v>
                </c:pt>
                <c:pt idx="56">
                  <c:v>48985</c:v>
                </c:pt>
                <c:pt idx="57">
                  <c:v>48493</c:v>
                </c:pt>
                <c:pt idx="58">
                  <c:v>98505</c:v>
                </c:pt>
                <c:pt idx="59">
                  <c:v>106051</c:v>
                </c:pt>
                <c:pt idx="60">
                  <c:v>128474</c:v>
                </c:pt>
                <c:pt idx="61">
                  <c:v>118158</c:v>
                </c:pt>
                <c:pt idx="62">
                  <c:v>70939</c:v>
                </c:pt>
                <c:pt idx="63">
                  <c:v>153267</c:v>
                </c:pt>
                <c:pt idx="64">
                  <c:v>145608</c:v>
                </c:pt>
                <c:pt idx="65">
                  <c:v>77751</c:v>
                </c:pt>
                <c:pt idx="66">
                  <c:v>122784</c:v>
                </c:pt>
                <c:pt idx="67">
                  <c:v>70565</c:v>
                </c:pt>
                <c:pt idx="68">
                  <c:v>142039</c:v>
                </c:pt>
                <c:pt idx="69">
                  <c:v>108296</c:v>
                </c:pt>
                <c:pt idx="70">
                  <c:v>87994</c:v>
                </c:pt>
                <c:pt idx="71">
                  <c:v>90086</c:v>
                </c:pt>
                <c:pt idx="72">
                  <c:v>55216</c:v>
                </c:pt>
                <c:pt idx="73">
                  <c:v>165042</c:v>
                </c:pt>
                <c:pt idx="74">
                  <c:v>111209</c:v>
                </c:pt>
                <c:pt idx="75">
                  <c:v>115047</c:v>
                </c:pt>
                <c:pt idx="76">
                  <c:v>71256</c:v>
                </c:pt>
                <c:pt idx="77">
                  <c:v>81780</c:v>
                </c:pt>
                <c:pt idx="78">
                  <c:v>93884</c:v>
                </c:pt>
                <c:pt idx="79">
                  <c:v>176417</c:v>
                </c:pt>
                <c:pt idx="80">
                  <c:v>112544</c:v>
                </c:pt>
                <c:pt idx="81">
                  <c:v>131540</c:v>
                </c:pt>
                <c:pt idx="82">
                  <c:v>50491</c:v>
                </c:pt>
                <c:pt idx="83">
                  <c:v>90467</c:v>
                </c:pt>
                <c:pt idx="84">
                  <c:v>60702</c:v>
                </c:pt>
                <c:pt idx="85">
                  <c:v>132627</c:v>
                </c:pt>
                <c:pt idx="86">
                  <c:v>74733</c:v>
                </c:pt>
                <c:pt idx="87">
                  <c:v>93653</c:v>
                </c:pt>
                <c:pt idx="88">
                  <c:v>99783</c:v>
                </c:pt>
                <c:pt idx="89">
                  <c:v>137237</c:v>
                </c:pt>
                <c:pt idx="90">
                  <c:v>53590</c:v>
                </c:pt>
                <c:pt idx="91">
                  <c:v>141943</c:v>
                </c:pt>
                <c:pt idx="92">
                  <c:v>166277</c:v>
                </c:pt>
                <c:pt idx="93">
                  <c:v>66899</c:v>
                </c:pt>
                <c:pt idx="94">
                  <c:v>148293</c:v>
                </c:pt>
                <c:pt idx="95">
                  <c:v>109480</c:v>
                </c:pt>
                <c:pt idx="96">
                  <c:v>97727</c:v>
                </c:pt>
                <c:pt idx="97">
                  <c:v>119205</c:v>
                </c:pt>
                <c:pt idx="98">
                  <c:v>106892</c:v>
                </c:pt>
                <c:pt idx="99">
                  <c:v>62723</c:v>
                </c:pt>
                <c:pt idx="100">
                  <c:v>92035</c:v>
                </c:pt>
                <c:pt idx="101">
                  <c:v>148874</c:v>
                </c:pt>
                <c:pt idx="102">
                  <c:v>68052</c:v>
                </c:pt>
                <c:pt idx="103">
                  <c:v>131641</c:v>
                </c:pt>
                <c:pt idx="104">
                  <c:v>134670</c:v>
                </c:pt>
                <c:pt idx="105">
                  <c:v>75249</c:v>
                </c:pt>
                <c:pt idx="106">
                  <c:v>68335</c:v>
                </c:pt>
                <c:pt idx="107">
                  <c:v>94429</c:v>
                </c:pt>
                <c:pt idx="108">
                  <c:v>76471</c:v>
                </c:pt>
                <c:pt idx="109">
                  <c:v>122524</c:v>
                </c:pt>
                <c:pt idx="110">
                  <c:v>77832</c:v>
                </c:pt>
                <c:pt idx="111">
                  <c:v>89767</c:v>
                </c:pt>
                <c:pt idx="112">
                  <c:v>151883</c:v>
                </c:pt>
                <c:pt idx="113">
                  <c:v>128900</c:v>
                </c:pt>
                <c:pt idx="114">
                  <c:v>50192</c:v>
                </c:pt>
                <c:pt idx="115">
                  <c:v>105321</c:v>
                </c:pt>
                <c:pt idx="116">
                  <c:v>56563</c:v>
                </c:pt>
                <c:pt idx="117">
                  <c:v>134886</c:v>
                </c:pt>
                <c:pt idx="118">
                  <c:v>95905</c:v>
                </c:pt>
                <c:pt idx="119">
                  <c:v>99375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4-412A-A2D1-D1B5520F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20063"/>
        <c:axId val="151315263"/>
      </c:scatterChart>
      <c:valAx>
        <c:axId val="15132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Call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315263"/>
        <c:crosses val="autoZero"/>
        <c:crossBetween val="midCat"/>
      </c:valAx>
      <c:valAx>
        <c:axId val="1513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32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Revenue Trend Analysis (2016–2025)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994975913181954E-3"/>
                  <c:y val="-0.22932837862621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cat>
            <c:strRef>
              <c:f>Dataset!$I$2:$I$121</c:f>
              <c:strCache>
                <c:ptCount val="120"/>
                <c:pt idx="0">
                  <c:v>Jan-2016</c:v>
                </c:pt>
                <c:pt idx="1">
                  <c:v>Feb-2016</c:v>
                </c:pt>
                <c:pt idx="2">
                  <c:v>Mar-2016</c:v>
                </c:pt>
                <c:pt idx="3">
                  <c:v>Apr-2016</c:v>
                </c:pt>
                <c:pt idx="4">
                  <c:v>May-2016</c:v>
                </c:pt>
                <c:pt idx="5">
                  <c:v>Jun-2016</c:v>
                </c:pt>
                <c:pt idx="6">
                  <c:v>Jul-2016</c:v>
                </c:pt>
                <c:pt idx="7">
                  <c:v>Aug-2016</c:v>
                </c:pt>
                <c:pt idx="8">
                  <c:v>Sep-2016</c:v>
                </c:pt>
                <c:pt idx="9">
                  <c:v>Oct-2016</c:v>
                </c:pt>
                <c:pt idx="10">
                  <c:v>Nov-2016</c:v>
                </c:pt>
                <c:pt idx="11">
                  <c:v>Dec-2016</c:v>
                </c:pt>
                <c:pt idx="12">
                  <c:v>Jan-2017</c:v>
                </c:pt>
                <c:pt idx="13">
                  <c:v>Feb-2017</c:v>
                </c:pt>
                <c:pt idx="14">
                  <c:v>Mar-2017</c:v>
                </c:pt>
                <c:pt idx="15">
                  <c:v>Apr-2017</c:v>
                </c:pt>
                <c:pt idx="16">
                  <c:v>May-2017</c:v>
                </c:pt>
                <c:pt idx="17">
                  <c:v>Jun-2017</c:v>
                </c:pt>
                <c:pt idx="18">
                  <c:v>Jul-2017</c:v>
                </c:pt>
                <c:pt idx="19">
                  <c:v>Aug-2017</c:v>
                </c:pt>
                <c:pt idx="20">
                  <c:v>Sep-2017</c:v>
                </c:pt>
                <c:pt idx="21">
                  <c:v>Oct-2017</c:v>
                </c:pt>
                <c:pt idx="22">
                  <c:v>Nov-2017</c:v>
                </c:pt>
                <c:pt idx="23">
                  <c:v>Dec-2017</c:v>
                </c:pt>
                <c:pt idx="24">
                  <c:v>Jan-2018</c:v>
                </c:pt>
                <c:pt idx="25">
                  <c:v>Feb-2018</c:v>
                </c:pt>
                <c:pt idx="26">
                  <c:v>Mar-2018</c:v>
                </c:pt>
                <c:pt idx="27">
                  <c:v>Apr-2018</c:v>
                </c:pt>
                <c:pt idx="28">
                  <c:v>May-2018</c:v>
                </c:pt>
                <c:pt idx="29">
                  <c:v>Jun-2018</c:v>
                </c:pt>
                <c:pt idx="30">
                  <c:v>Jul-2018</c:v>
                </c:pt>
                <c:pt idx="31">
                  <c:v>Aug-2018</c:v>
                </c:pt>
                <c:pt idx="32">
                  <c:v>Sep-2018</c:v>
                </c:pt>
                <c:pt idx="33">
                  <c:v>Oct-2018</c:v>
                </c:pt>
                <c:pt idx="34">
                  <c:v>Nov-2018</c:v>
                </c:pt>
                <c:pt idx="35">
                  <c:v>Dec-2018</c:v>
                </c:pt>
                <c:pt idx="36">
                  <c:v>Jan-2019</c:v>
                </c:pt>
                <c:pt idx="37">
                  <c:v>Feb-2019</c:v>
                </c:pt>
                <c:pt idx="38">
                  <c:v>Mar-2019</c:v>
                </c:pt>
                <c:pt idx="39">
                  <c:v>Apr-2019</c:v>
                </c:pt>
                <c:pt idx="40">
                  <c:v>May-2019</c:v>
                </c:pt>
                <c:pt idx="41">
                  <c:v>Jun-2019</c:v>
                </c:pt>
                <c:pt idx="42">
                  <c:v>Jul-2019</c:v>
                </c:pt>
                <c:pt idx="43">
                  <c:v>Aug-2019</c:v>
                </c:pt>
                <c:pt idx="44">
                  <c:v>Sep-2019</c:v>
                </c:pt>
                <c:pt idx="45">
                  <c:v>Oct-2019</c:v>
                </c:pt>
                <c:pt idx="46">
                  <c:v>Nov-2019</c:v>
                </c:pt>
                <c:pt idx="47">
                  <c:v>Dec-2019</c:v>
                </c:pt>
                <c:pt idx="48">
                  <c:v>Jan-2020</c:v>
                </c:pt>
                <c:pt idx="49">
                  <c:v>Feb-2020</c:v>
                </c:pt>
                <c:pt idx="50">
                  <c:v>Mar-2020</c:v>
                </c:pt>
                <c:pt idx="51">
                  <c:v>Apr-2020</c:v>
                </c:pt>
                <c:pt idx="52">
                  <c:v>May-2020</c:v>
                </c:pt>
                <c:pt idx="53">
                  <c:v>Jun-2020</c:v>
                </c:pt>
                <c:pt idx="54">
                  <c:v>Jul-2020</c:v>
                </c:pt>
                <c:pt idx="55">
                  <c:v>Aug-2020</c:v>
                </c:pt>
                <c:pt idx="56">
                  <c:v>Sep-2020</c:v>
                </c:pt>
                <c:pt idx="57">
                  <c:v>Oct-2020</c:v>
                </c:pt>
                <c:pt idx="58">
                  <c:v>Nov-2020</c:v>
                </c:pt>
                <c:pt idx="59">
                  <c:v>Dec-2020</c:v>
                </c:pt>
                <c:pt idx="60">
                  <c:v>Jan-2021</c:v>
                </c:pt>
                <c:pt idx="61">
                  <c:v>Feb-2021</c:v>
                </c:pt>
                <c:pt idx="62">
                  <c:v>Mar-2021</c:v>
                </c:pt>
                <c:pt idx="63">
                  <c:v>Apr-2021</c:v>
                </c:pt>
                <c:pt idx="64">
                  <c:v>May-2021</c:v>
                </c:pt>
                <c:pt idx="65">
                  <c:v>Jun-2021</c:v>
                </c:pt>
                <c:pt idx="66">
                  <c:v>Jul-2021</c:v>
                </c:pt>
                <c:pt idx="67">
                  <c:v>Aug-2021</c:v>
                </c:pt>
                <c:pt idx="68">
                  <c:v>Sep-2021</c:v>
                </c:pt>
                <c:pt idx="69">
                  <c:v>Oct-2021</c:v>
                </c:pt>
                <c:pt idx="70">
                  <c:v>Nov-2021</c:v>
                </c:pt>
                <c:pt idx="71">
                  <c:v>Dec-2021</c:v>
                </c:pt>
                <c:pt idx="72">
                  <c:v>Jan-2022</c:v>
                </c:pt>
                <c:pt idx="73">
                  <c:v>Feb-2022</c:v>
                </c:pt>
                <c:pt idx="74">
                  <c:v>Mar-2022</c:v>
                </c:pt>
                <c:pt idx="75">
                  <c:v>Apr-2022</c:v>
                </c:pt>
                <c:pt idx="76">
                  <c:v>May-2022</c:v>
                </c:pt>
                <c:pt idx="77">
                  <c:v>Jun-2022</c:v>
                </c:pt>
                <c:pt idx="78">
                  <c:v>Jul-2022</c:v>
                </c:pt>
                <c:pt idx="79">
                  <c:v>Aug-2022</c:v>
                </c:pt>
                <c:pt idx="80">
                  <c:v>Sep-2022</c:v>
                </c:pt>
                <c:pt idx="81">
                  <c:v>Oct-2022</c:v>
                </c:pt>
                <c:pt idx="82">
                  <c:v>Nov-2022</c:v>
                </c:pt>
                <c:pt idx="83">
                  <c:v>Dec-2022</c:v>
                </c:pt>
                <c:pt idx="84">
                  <c:v>Jan-2023</c:v>
                </c:pt>
                <c:pt idx="85">
                  <c:v>Feb-2023</c:v>
                </c:pt>
                <c:pt idx="86">
                  <c:v>Mar-2023</c:v>
                </c:pt>
                <c:pt idx="87">
                  <c:v>Apr-2023</c:v>
                </c:pt>
                <c:pt idx="88">
                  <c:v>May-2023</c:v>
                </c:pt>
                <c:pt idx="89">
                  <c:v>Jun-2023</c:v>
                </c:pt>
                <c:pt idx="90">
                  <c:v>Jul-2023</c:v>
                </c:pt>
                <c:pt idx="91">
                  <c:v>Aug-2023</c:v>
                </c:pt>
                <c:pt idx="92">
                  <c:v>Sep-2023</c:v>
                </c:pt>
                <c:pt idx="93">
                  <c:v>Oct-2023</c:v>
                </c:pt>
                <c:pt idx="94">
                  <c:v>Nov-2023</c:v>
                </c:pt>
                <c:pt idx="95">
                  <c:v>Dec-2023</c:v>
                </c:pt>
                <c:pt idx="96">
                  <c:v>Jan-2024</c:v>
                </c:pt>
                <c:pt idx="97">
                  <c:v>Feb-2024</c:v>
                </c:pt>
                <c:pt idx="98">
                  <c:v>Mar-2024</c:v>
                </c:pt>
                <c:pt idx="99">
                  <c:v>Apr-2024</c:v>
                </c:pt>
                <c:pt idx="100">
                  <c:v>May-2024</c:v>
                </c:pt>
                <c:pt idx="101">
                  <c:v>Jun-2024</c:v>
                </c:pt>
                <c:pt idx="102">
                  <c:v>Jul-2024</c:v>
                </c:pt>
                <c:pt idx="103">
                  <c:v>Aug-2024</c:v>
                </c:pt>
                <c:pt idx="104">
                  <c:v>Sep-2024</c:v>
                </c:pt>
                <c:pt idx="105">
                  <c:v>Oct-2024</c:v>
                </c:pt>
                <c:pt idx="106">
                  <c:v>Nov-2024</c:v>
                </c:pt>
                <c:pt idx="107">
                  <c:v>Dec-2024</c:v>
                </c:pt>
                <c:pt idx="108">
                  <c:v>Jan-2025</c:v>
                </c:pt>
                <c:pt idx="109">
                  <c:v>Feb-2025</c:v>
                </c:pt>
                <c:pt idx="110">
                  <c:v>Mar-2025</c:v>
                </c:pt>
                <c:pt idx="111">
                  <c:v>Apr-2025</c:v>
                </c:pt>
                <c:pt idx="112">
                  <c:v>May-2025</c:v>
                </c:pt>
                <c:pt idx="113">
                  <c:v>Jun-2025</c:v>
                </c:pt>
                <c:pt idx="114">
                  <c:v>Jul-2025</c:v>
                </c:pt>
                <c:pt idx="115">
                  <c:v>Aug-2025</c:v>
                </c:pt>
                <c:pt idx="116">
                  <c:v>Sep-2025</c:v>
                </c:pt>
                <c:pt idx="117">
                  <c:v>Oct-2025</c:v>
                </c:pt>
                <c:pt idx="118">
                  <c:v>Nov-2025</c:v>
                </c:pt>
                <c:pt idx="119">
                  <c:v>Dec-2025</c:v>
                </c:pt>
              </c:strCache>
            </c:strRef>
          </c:cat>
          <c:val>
            <c:numRef>
              <c:f>Dataset!$N$2:$N$121</c:f>
              <c:numCache>
                <c:formatCode>_("$"* #,##0.00_);_("$"* \(#,##0.00\);_("$"* "-"??_);_(@_)</c:formatCode>
                <c:ptCount val="120"/>
                <c:pt idx="0">
                  <c:v>105211</c:v>
                </c:pt>
                <c:pt idx="1">
                  <c:v>74908</c:v>
                </c:pt>
                <c:pt idx="2">
                  <c:v>138323</c:v>
                </c:pt>
                <c:pt idx="3">
                  <c:v>153419</c:v>
                </c:pt>
                <c:pt idx="4">
                  <c:v>108379</c:v>
                </c:pt>
                <c:pt idx="5">
                  <c:v>150281</c:v>
                </c:pt>
                <c:pt idx="6">
                  <c:v>80365</c:v>
                </c:pt>
                <c:pt idx="7">
                  <c:v>103471</c:v>
                </c:pt>
                <c:pt idx="8">
                  <c:v>127323</c:v>
                </c:pt>
                <c:pt idx="9">
                  <c:v>108347</c:v>
                </c:pt>
                <c:pt idx="10">
                  <c:v>62422</c:v>
                </c:pt>
                <c:pt idx="11">
                  <c:v>119350</c:v>
                </c:pt>
                <c:pt idx="12">
                  <c:v>85353</c:v>
                </c:pt>
                <c:pt idx="13">
                  <c:v>145118</c:v>
                </c:pt>
                <c:pt idx="14">
                  <c:v>93248</c:v>
                </c:pt>
                <c:pt idx="15">
                  <c:v>99669</c:v>
                </c:pt>
                <c:pt idx="16">
                  <c:v>144689</c:v>
                </c:pt>
                <c:pt idx="17">
                  <c:v>63367</c:v>
                </c:pt>
                <c:pt idx="18">
                  <c:v>153371</c:v>
                </c:pt>
                <c:pt idx="19">
                  <c:v>145224</c:v>
                </c:pt>
                <c:pt idx="20">
                  <c:v>49617</c:v>
                </c:pt>
                <c:pt idx="21">
                  <c:v>132277</c:v>
                </c:pt>
                <c:pt idx="22">
                  <c:v>148707</c:v>
                </c:pt>
                <c:pt idx="23">
                  <c:v>34438</c:v>
                </c:pt>
                <c:pt idx="24">
                  <c:v>67595</c:v>
                </c:pt>
                <c:pt idx="25">
                  <c:v>53764</c:v>
                </c:pt>
                <c:pt idx="26">
                  <c:v>144548</c:v>
                </c:pt>
                <c:pt idx="27">
                  <c:v>59841</c:v>
                </c:pt>
                <c:pt idx="28">
                  <c:v>83919</c:v>
                </c:pt>
                <c:pt idx="29">
                  <c:v>80935</c:v>
                </c:pt>
                <c:pt idx="30">
                  <c:v>134309</c:v>
                </c:pt>
                <c:pt idx="31">
                  <c:v>141157</c:v>
                </c:pt>
                <c:pt idx="32">
                  <c:v>76444</c:v>
                </c:pt>
                <c:pt idx="33">
                  <c:v>140648</c:v>
                </c:pt>
                <c:pt idx="34">
                  <c:v>117502</c:v>
                </c:pt>
                <c:pt idx="35">
                  <c:v>80111</c:v>
                </c:pt>
                <c:pt idx="36">
                  <c:v>126278</c:v>
                </c:pt>
                <c:pt idx="37">
                  <c:v>134796</c:v>
                </c:pt>
                <c:pt idx="38">
                  <c:v>46911</c:v>
                </c:pt>
                <c:pt idx="39">
                  <c:v>97429</c:v>
                </c:pt>
                <c:pt idx="40">
                  <c:v>117269</c:v>
                </c:pt>
                <c:pt idx="41">
                  <c:v>73609</c:v>
                </c:pt>
                <c:pt idx="42">
                  <c:v>56812</c:v>
                </c:pt>
                <c:pt idx="43">
                  <c:v>92441</c:v>
                </c:pt>
                <c:pt idx="44">
                  <c:v>60874</c:v>
                </c:pt>
                <c:pt idx="45">
                  <c:v>38436</c:v>
                </c:pt>
                <c:pt idx="46">
                  <c:v>46870</c:v>
                </c:pt>
                <c:pt idx="47">
                  <c:v>132446</c:v>
                </c:pt>
                <c:pt idx="48">
                  <c:v>141767</c:v>
                </c:pt>
                <c:pt idx="49">
                  <c:v>109494</c:v>
                </c:pt>
                <c:pt idx="50">
                  <c:v>86793</c:v>
                </c:pt>
                <c:pt idx="51">
                  <c:v>131784</c:v>
                </c:pt>
                <c:pt idx="52">
                  <c:v>54724</c:v>
                </c:pt>
                <c:pt idx="53">
                  <c:v>175118</c:v>
                </c:pt>
                <c:pt idx="54">
                  <c:v>147858</c:v>
                </c:pt>
                <c:pt idx="55">
                  <c:v>139814</c:v>
                </c:pt>
                <c:pt idx="56">
                  <c:v>48985</c:v>
                </c:pt>
                <c:pt idx="57">
                  <c:v>48493</c:v>
                </c:pt>
                <c:pt idx="58">
                  <c:v>98505</c:v>
                </c:pt>
                <c:pt idx="59">
                  <c:v>106051</c:v>
                </c:pt>
                <c:pt idx="60">
                  <c:v>128474</c:v>
                </c:pt>
                <c:pt idx="61">
                  <c:v>118158</c:v>
                </c:pt>
                <c:pt idx="62">
                  <c:v>70939</c:v>
                </c:pt>
                <c:pt idx="63">
                  <c:v>153267</c:v>
                </c:pt>
                <c:pt idx="64">
                  <c:v>145608</c:v>
                </c:pt>
                <c:pt idx="65">
                  <c:v>77751</c:v>
                </c:pt>
                <c:pt idx="66">
                  <c:v>122784</c:v>
                </c:pt>
                <c:pt idx="67">
                  <c:v>70565</c:v>
                </c:pt>
                <c:pt idx="68">
                  <c:v>142039</c:v>
                </c:pt>
                <c:pt idx="69">
                  <c:v>108296</c:v>
                </c:pt>
                <c:pt idx="70">
                  <c:v>87994</c:v>
                </c:pt>
                <c:pt idx="71">
                  <c:v>90086</c:v>
                </c:pt>
                <c:pt idx="72">
                  <c:v>55216</c:v>
                </c:pt>
                <c:pt idx="73">
                  <c:v>165042</c:v>
                </c:pt>
                <c:pt idx="74">
                  <c:v>111209</c:v>
                </c:pt>
                <c:pt idx="75">
                  <c:v>115047</c:v>
                </c:pt>
                <c:pt idx="76">
                  <c:v>71256</c:v>
                </c:pt>
                <c:pt idx="77">
                  <c:v>81780</c:v>
                </c:pt>
                <c:pt idx="78">
                  <c:v>93884</c:v>
                </c:pt>
                <c:pt idx="79">
                  <c:v>176417</c:v>
                </c:pt>
                <c:pt idx="80">
                  <c:v>112544</c:v>
                </c:pt>
                <c:pt idx="81">
                  <c:v>131540</c:v>
                </c:pt>
                <c:pt idx="82">
                  <c:v>50491</c:v>
                </c:pt>
                <c:pt idx="83">
                  <c:v>90467</c:v>
                </c:pt>
                <c:pt idx="84">
                  <c:v>60702</c:v>
                </c:pt>
                <c:pt idx="85">
                  <c:v>132627</c:v>
                </c:pt>
                <c:pt idx="86">
                  <c:v>74733</c:v>
                </c:pt>
                <c:pt idx="87">
                  <c:v>93653</c:v>
                </c:pt>
                <c:pt idx="88">
                  <c:v>99783</c:v>
                </c:pt>
                <c:pt idx="89">
                  <c:v>137237</c:v>
                </c:pt>
                <c:pt idx="90">
                  <c:v>53590</c:v>
                </c:pt>
                <c:pt idx="91">
                  <c:v>141943</c:v>
                </c:pt>
                <c:pt idx="92">
                  <c:v>166277</c:v>
                </c:pt>
                <c:pt idx="93">
                  <c:v>66899</c:v>
                </c:pt>
                <c:pt idx="94">
                  <c:v>148293</c:v>
                </c:pt>
                <c:pt idx="95">
                  <c:v>109480</c:v>
                </c:pt>
                <c:pt idx="96">
                  <c:v>97727</c:v>
                </c:pt>
                <c:pt idx="97">
                  <c:v>119205</c:v>
                </c:pt>
                <c:pt idx="98">
                  <c:v>106892</c:v>
                </c:pt>
                <c:pt idx="99">
                  <c:v>62723</c:v>
                </c:pt>
                <c:pt idx="100">
                  <c:v>92035</c:v>
                </c:pt>
                <c:pt idx="101">
                  <c:v>148874</c:v>
                </c:pt>
                <c:pt idx="102">
                  <c:v>68052</c:v>
                </c:pt>
                <c:pt idx="103">
                  <c:v>131641</c:v>
                </c:pt>
                <c:pt idx="104">
                  <c:v>134670</c:v>
                </c:pt>
                <c:pt idx="105">
                  <c:v>75249</c:v>
                </c:pt>
                <c:pt idx="106">
                  <c:v>68335</c:v>
                </c:pt>
                <c:pt idx="107">
                  <c:v>94429</c:v>
                </c:pt>
                <c:pt idx="108">
                  <c:v>76471</c:v>
                </c:pt>
                <c:pt idx="109">
                  <c:v>122524</c:v>
                </c:pt>
                <c:pt idx="110">
                  <c:v>77832</c:v>
                </c:pt>
                <c:pt idx="111">
                  <c:v>89767</c:v>
                </c:pt>
                <c:pt idx="112">
                  <c:v>151883</c:v>
                </c:pt>
                <c:pt idx="113">
                  <c:v>128900</c:v>
                </c:pt>
                <c:pt idx="114">
                  <c:v>50192</c:v>
                </c:pt>
                <c:pt idx="115">
                  <c:v>105321</c:v>
                </c:pt>
                <c:pt idx="116">
                  <c:v>56563</c:v>
                </c:pt>
                <c:pt idx="117">
                  <c:v>134886</c:v>
                </c:pt>
                <c:pt idx="118">
                  <c:v>95905</c:v>
                </c:pt>
                <c:pt idx="119">
                  <c:v>99375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1-4795-9944-B39B7295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87791"/>
        <c:axId val="85888271"/>
      </c:lineChart>
      <c:dateAx>
        <c:axId val="8588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888271"/>
        <c:crosses val="autoZero"/>
        <c:auto val="0"/>
        <c:lblOffset val="100"/>
        <c:baseTimeUnit val="days"/>
        <c:majorUnit val="6"/>
      </c:dateAx>
      <c:valAx>
        <c:axId val="858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 ($)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88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Revenue vs Moving Average Trend (2016–2025)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Dataset!$I$2:$I$121</c:f>
              <c:strCache>
                <c:ptCount val="120"/>
                <c:pt idx="0">
                  <c:v>Jan-2016</c:v>
                </c:pt>
                <c:pt idx="1">
                  <c:v>Feb-2016</c:v>
                </c:pt>
                <c:pt idx="2">
                  <c:v>Mar-2016</c:v>
                </c:pt>
                <c:pt idx="3">
                  <c:v>Apr-2016</c:v>
                </c:pt>
                <c:pt idx="4">
                  <c:v>May-2016</c:v>
                </c:pt>
                <c:pt idx="5">
                  <c:v>Jun-2016</c:v>
                </c:pt>
                <c:pt idx="6">
                  <c:v>Jul-2016</c:v>
                </c:pt>
                <c:pt idx="7">
                  <c:v>Aug-2016</c:v>
                </c:pt>
                <c:pt idx="8">
                  <c:v>Sep-2016</c:v>
                </c:pt>
                <c:pt idx="9">
                  <c:v>Oct-2016</c:v>
                </c:pt>
                <c:pt idx="10">
                  <c:v>Nov-2016</c:v>
                </c:pt>
                <c:pt idx="11">
                  <c:v>Dec-2016</c:v>
                </c:pt>
                <c:pt idx="12">
                  <c:v>Jan-2017</c:v>
                </c:pt>
                <c:pt idx="13">
                  <c:v>Feb-2017</c:v>
                </c:pt>
                <c:pt idx="14">
                  <c:v>Mar-2017</c:v>
                </c:pt>
                <c:pt idx="15">
                  <c:v>Apr-2017</c:v>
                </c:pt>
                <c:pt idx="16">
                  <c:v>May-2017</c:v>
                </c:pt>
                <c:pt idx="17">
                  <c:v>Jun-2017</c:v>
                </c:pt>
                <c:pt idx="18">
                  <c:v>Jul-2017</c:v>
                </c:pt>
                <c:pt idx="19">
                  <c:v>Aug-2017</c:v>
                </c:pt>
                <c:pt idx="20">
                  <c:v>Sep-2017</c:v>
                </c:pt>
                <c:pt idx="21">
                  <c:v>Oct-2017</c:v>
                </c:pt>
                <c:pt idx="22">
                  <c:v>Nov-2017</c:v>
                </c:pt>
                <c:pt idx="23">
                  <c:v>Dec-2017</c:v>
                </c:pt>
                <c:pt idx="24">
                  <c:v>Jan-2018</c:v>
                </c:pt>
                <c:pt idx="25">
                  <c:v>Feb-2018</c:v>
                </c:pt>
                <c:pt idx="26">
                  <c:v>Mar-2018</c:v>
                </c:pt>
                <c:pt idx="27">
                  <c:v>Apr-2018</c:v>
                </c:pt>
                <c:pt idx="28">
                  <c:v>May-2018</c:v>
                </c:pt>
                <c:pt idx="29">
                  <c:v>Jun-2018</c:v>
                </c:pt>
                <c:pt idx="30">
                  <c:v>Jul-2018</c:v>
                </c:pt>
                <c:pt idx="31">
                  <c:v>Aug-2018</c:v>
                </c:pt>
                <c:pt idx="32">
                  <c:v>Sep-2018</c:v>
                </c:pt>
                <c:pt idx="33">
                  <c:v>Oct-2018</c:v>
                </c:pt>
                <c:pt idx="34">
                  <c:v>Nov-2018</c:v>
                </c:pt>
                <c:pt idx="35">
                  <c:v>Dec-2018</c:v>
                </c:pt>
                <c:pt idx="36">
                  <c:v>Jan-2019</c:v>
                </c:pt>
                <c:pt idx="37">
                  <c:v>Feb-2019</c:v>
                </c:pt>
                <c:pt idx="38">
                  <c:v>Mar-2019</c:v>
                </c:pt>
                <c:pt idx="39">
                  <c:v>Apr-2019</c:v>
                </c:pt>
                <c:pt idx="40">
                  <c:v>May-2019</c:v>
                </c:pt>
                <c:pt idx="41">
                  <c:v>Jun-2019</c:v>
                </c:pt>
                <c:pt idx="42">
                  <c:v>Jul-2019</c:v>
                </c:pt>
                <c:pt idx="43">
                  <c:v>Aug-2019</c:v>
                </c:pt>
                <c:pt idx="44">
                  <c:v>Sep-2019</c:v>
                </c:pt>
                <c:pt idx="45">
                  <c:v>Oct-2019</c:v>
                </c:pt>
                <c:pt idx="46">
                  <c:v>Nov-2019</c:v>
                </c:pt>
                <c:pt idx="47">
                  <c:v>Dec-2019</c:v>
                </c:pt>
                <c:pt idx="48">
                  <c:v>Jan-2020</c:v>
                </c:pt>
                <c:pt idx="49">
                  <c:v>Feb-2020</c:v>
                </c:pt>
                <c:pt idx="50">
                  <c:v>Mar-2020</c:v>
                </c:pt>
                <c:pt idx="51">
                  <c:v>Apr-2020</c:v>
                </c:pt>
                <c:pt idx="52">
                  <c:v>May-2020</c:v>
                </c:pt>
                <c:pt idx="53">
                  <c:v>Jun-2020</c:v>
                </c:pt>
                <c:pt idx="54">
                  <c:v>Jul-2020</c:v>
                </c:pt>
                <c:pt idx="55">
                  <c:v>Aug-2020</c:v>
                </c:pt>
                <c:pt idx="56">
                  <c:v>Sep-2020</c:v>
                </c:pt>
                <c:pt idx="57">
                  <c:v>Oct-2020</c:v>
                </c:pt>
                <c:pt idx="58">
                  <c:v>Nov-2020</c:v>
                </c:pt>
                <c:pt idx="59">
                  <c:v>Dec-2020</c:v>
                </c:pt>
                <c:pt idx="60">
                  <c:v>Jan-2021</c:v>
                </c:pt>
                <c:pt idx="61">
                  <c:v>Feb-2021</c:v>
                </c:pt>
                <c:pt idx="62">
                  <c:v>Mar-2021</c:v>
                </c:pt>
                <c:pt idx="63">
                  <c:v>Apr-2021</c:v>
                </c:pt>
                <c:pt idx="64">
                  <c:v>May-2021</c:v>
                </c:pt>
                <c:pt idx="65">
                  <c:v>Jun-2021</c:v>
                </c:pt>
                <c:pt idx="66">
                  <c:v>Jul-2021</c:v>
                </c:pt>
                <c:pt idx="67">
                  <c:v>Aug-2021</c:v>
                </c:pt>
                <c:pt idx="68">
                  <c:v>Sep-2021</c:v>
                </c:pt>
                <c:pt idx="69">
                  <c:v>Oct-2021</c:v>
                </c:pt>
                <c:pt idx="70">
                  <c:v>Nov-2021</c:v>
                </c:pt>
                <c:pt idx="71">
                  <c:v>Dec-2021</c:v>
                </c:pt>
                <c:pt idx="72">
                  <c:v>Jan-2022</c:v>
                </c:pt>
                <c:pt idx="73">
                  <c:v>Feb-2022</c:v>
                </c:pt>
                <c:pt idx="74">
                  <c:v>Mar-2022</c:v>
                </c:pt>
                <c:pt idx="75">
                  <c:v>Apr-2022</c:v>
                </c:pt>
                <c:pt idx="76">
                  <c:v>May-2022</c:v>
                </c:pt>
                <c:pt idx="77">
                  <c:v>Jun-2022</c:v>
                </c:pt>
                <c:pt idx="78">
                  <c:v>Jul-2022</c:v>
                </c:pt>
                <c:pt idx="79">
                  <c:v>Aug-2022</c:v>
                </c:pt>
                <c:pt idx="80">
                  <c:v>Sep-2022</c:v>
                </c:pt>
                <c:pt idx="81">
                  <c:v>Oct-2022</c:v>
                </c:pt>
                <c:pt idx="82">
                  <c:v>Nov-2022</c:v>
                </c:pt>
                <c:pt idx="83">
                  <c:v>Dec-2022</c:v>
                </c:pt>
                <c:pt idx="84">
                  <c:v>Jan-2023</c:v>
                </c:pt>
                <c:pt idx="85">
                  <c:v>Feb-2023</c:v>
                </c:pt>
                <c:pt idx="86">
                  <c:v>Mar-2023</c:v>
                </c:pt>
                <c:pt idx="87">
                  <c:v>Apr-2023</c:v>
                </c:pt>
                <c:pt idx="88">
                  <c:v>May-2023</c:v>
                </c:pt>
                <c:pt idx="89">
                  <c:v>Jun-2023</c:v>
                </c:pt>
                <c:pt idx="90">
                  <c:v>Jul-2023</c:v>
                </c:pt>
                <c:pt idx="91">
                  <c:v>Aug-2023</c:v>
                </c:pt>
                <c:pt idx="92">
                  <c:v>Sep-2023</c:v>
                </c:pt>
                <c:pt idx="93">
                  <c:v>Oct-2023</c:v>
                </c:pt>
                <c:pt idx="94">
                  <c:v>Nov-2023</c:v>
                </c:pt>
                <c:pt idx="95">
                  <c:v>Dec-2023</c:v>
                </c:pt>
                <c:pt idx="96">
                  <c:v>Jan-2024</c:v>
                </c:pt>
                <c:pt idx="97">
                  <c:v>Feb-2024</c:v>
                </c:pt>
                <c:pt idx="98">
                  <c:v>Mar-2024</c:v>
                </c:pt>
                <c:pt idx="99">
                  <c:v>Apr-2024</c:v>
                </c:pt>
                <c:pt idx="100">
                  <c:v>May-2024</c:v>
                </c:pt>
                <c:pt idx="101">
                  <c:v>Jun-2024</c:v>
                </c:pt>
                <c:pt idx="102">
                  <c:v>Jul-2024</c:v>
                </c:pt>
                <c:pt idx="103">
                  <c:v>Aug-2024</c:v>
                </c:pt>
                <c:pt idx="104">
                  <c:v>Sep-2024</c:v>
                </c:pt>
                <c:pt idx="105">
                  <c:v>Oct-2024</c:v>
                </c:pt>
                <c:pt idx="106">
                  <c:v>Nov-2024</c:v>
                </c:pt>
                <c:pt idx="107">
                  <c:v>Dec-2024</c:v>
                </c:pt>
                <c:pt idx="108">
                  <c:v>Jan-2025</c:v>
                </c:pt>
                <c:pt idx="109">
                  <c:v>Feb-2025</c:v>
                </c:pt>
                <c:pt idx="110">
                  <c:v>Mar-2025</c:v>
                </c:pt>
                <c:pt idx="111">
                  <c:v>Apr-2025</c:v>
                </c:pt>
                <c:pt idx="112">
                  <c:v>May-2025</c:v>
                </c:pt>
                <c:pt idx="113">
                  <c:v>Jun-2025</c:v>
                </c:pt>
                <c:pt idx="114">
                  <c:v>Jul-2025</c:v>
                </c:pt>
                <c:pt idx="115">
                  <c:v>Aug-2025</c:v>
                </c:pt>
                <c:pt idx="116">
                  <c:v>Sep-2025</c:v>
                </c:pt>
                <c:pt idx="117">
                  <c:v>Oct-2025</c:v>
                </c:pt>
                <c:pt idx="118">
                  <c:v>Nov-2025</c:v>
                </c:pt>
                <c:pt idx="119">
                  <c:v>Dec-2025</c:v>
                </c:pt>
              </c:strCache>
            </c:strRef>
          </c:cat>
          <c:val>
            <c:numRef>
              <c:f>Dataset!$N$2:$N$121</c:f>
              <c:numCache>
                <c:formatCode>_("$"* #,##0.00_);_("$"* \(#,##0.00\);_("$"* "-"??_);_(@_)</c:formatCode>
                <c:ptCount val="120"/>
                <c:pt idx="0">
                  <c:v>105211</c:v>
                </c:pt>
                <c:pt idx="1">
                  <c:v>74908</c:v>
                </c:pt>
                <c:pt idx="2">
                  <c:v>138323</c:v>
                </c:pt>
                <c:pt idx="3">
                  <c:v>153419</c:v>
                </c:pt>
                <c:pt idx="4">
                  <c:v>108379</c:v>
                </c:pt>
                <c:pt idx="5">
                  <c:v>150281</c:v>
                </c:pt>
                <c:pt idx="6">
                  <c:v>80365</c:v>
                </c:pt>
                <c:pt idx="7">
                  <c:v>103471</c:v>
                </c:pt>
                <c:pt idx="8">
                  <c:v>127323</c:v>
                </c:pt>
                <c:pt idx="9">
                  <c:v>108347</c:v>
                </c:pt>
                <c:pt idx="10">
                  <c:v>62422</c:v>
                </c:pt>
                <c:pt idx="11">
                  <c:v>119350</c:v>
                </c:pt>
                <c:pt idx="12">
                  <c:v>85353</c:v>
                </c:pt>
                <c:pt idx="13">
                  <c:v>145118</c:v>
                </c:pt>
                <c:pt idx="14">
                  <c:v>93248</c:v>
                </c:pt>
                <c:pt idx="15">
                  <c:v>99669</c:v>
                </c:pt>
                <c:pt idx="16">
                  <c:v>144689</c:v>
                </c:pt>
                <c:pt idx="17">
                  <c:v>63367</c:v>
                </c:pt>
                <c:pt idx="18">
                  <c:v>153371</c:v>
                </c:pt>
                <c:pt idx="19">
                  <c:v>145224</c:v>
                </c:pt>
                <c:pt idx="20">
                  <c:v>49617</c:v>
                </c:pt>
                <c:pt idx="21">
                  <c:v>132277</c:v>
                </c:pt>
                <c:pt idx="22">
                  <c:v>148707</c:v>
                </c:pt>
                <c:pt idx="23">
                  <c:v>34438</c:v>
                </c:pt>
                <c:pt idx="24">
                  <c:v>67595</c:v>
                </c:pt>
                <c:pt idx="25">
                  <c:v>53764</c:v>
                </c:pt>
                <c:pt idx="26">
                  <c:v>144548</c:v>
                </c:pt>
                <c:pt idx="27">
                  <c:v>59841</c:v>
                </c:pt>
                <c:pt idx="28">
                  <c:v>83919</c:v>
                </c:pt>
                <c:pt idx="29">
                  <c:v>80935</c:v>
                </c:pt>
                <c:pt idx="30">
                  <c:v>134309</c:v>
                </c:pt>
                <c:pt idx="31">
                  <c:v>141157</c:v>
                </c:pt>
                <c:pt idx="32">
                  <c:v>76444</c:v>
                </c:pt>
                <c:pt idx="33">
                  <c:v>140648</c:v>
                </c:pt>
                <c:pt idx="34">
                  <c:v>117502</c:v>
                </c:pt>
                <c:pt idx="35">
                  <c:v>80111</c:v>
                </c:pt>
                <c:pt idx="36">
                  <c:v>126278</c:v>
                </c:pt>
                <c:pt idx="37">
                  <c:v>134796</c:v>
                </c:pt>
                <c:pt idx="38">
                  <c:v>46911</c:v>
                </c:pt>
                <c:pt idx="39">
                  <c:v>97429</c:v>
                </c:pt>
                <c:pt idx="40">
                  <c:v>117269</c:v>
                </c:pt>
                <c:pt idx="41">
                  <c:v>73609</c:v>
                </c:pt>
                <c:pt idx="42">
                  <c:v>56812</c:v>
                </c:pt>
                <c:pt idx="43">
                  <c:v>92441</c:v>
                </c:pt>
                <c:pt idx="44">
                  <c:v>60874</c:v>
                </c:pt>
                <c:pt idx="45">
                  <c:v>38436</c:v>
                </c:pt>
                <c:pt idx="46">
                  <c:v>46870</c:v>
                </c:pt>
                <c:pt idx="47">
                  <c:v>132446</c:v>
                </c:pt>
                <c:pt idx="48">
                  <c:v>141767</c:v>
                </c:pt>
                <c:pt idx="49">
                  <c:v>109494</c:v>
                </c:pt>
                <c:pt idx="50">
                  <c:v>86793</c:v>
                </c:pt>
                <c:pt idx="51">
                  <c:v>131784</c:v>
                </c:pt>
                <c:pt idx="52">
                  <c:v>54724</c:v>
                </c:pt>
                <c:pt idx="53">
                  <c:v>175118</c:v>
                </c:pt>
                <c:pt idx="54">
                  <c:v>147858</c:v>
                </c:pt>
                <c:pt idx="55">
                  <c:v>139814</c:v>
                </c:pt>
                <c:pt idx="56">
                  <c:v>48985</c:v>
                </c:pt>
                <c:pt idx="57">
                  <c:v>48493</c:v>
                </c:pt>
                <c:pt idx="58">
                  <c:v>98505</c:v>
                </c:pt>
                <c:pt idx="59">
                  <c:v>106051</c:v>
                </c:pt>
                <c:pt idx="60">
                  <c:v>128474</c:v>
                </c:pt>
                <c:pt idx="61">
                  <c:v>118158</c:v>
                </c:pt>
                <c:pt idx="62">
                  <c:v>70939</c:v>
                </c:pt>
                <c:pt idx="63">
                  <c:v>153267</c:v>
                </c:pt>
                <c:pt idx="64">
                  <c:v>145608</c:v>
                </c:pt>
                <c:pt idx="65">
                  <c:v>77751</c:v>
                </c:pt>
                <c:pt idx="66">
                  <c:v>122784</c:v>
                </c:pt>
                <c:pt idx="67">
                  <c:v>70565</c:v>
                </c:pt>
                <c:pt idx="68">
                  <c:v>142039</c:v>
                </c:pt>
                <c:pt idx="69">
                  <c:v>108296</c:v>
                </c:pt>
                <c:pt idx="70">
                  <c:v>87994</c:v>
                </c:pt>
                <c:pt idx="71">
                  <c:v>90086</c:v>
                </c:pt>
                <c:pt idx="72">
                  <c:v>55216</c:v>
                </c:pt>
                <c:pt idx="73">
                  <c:v>165042</c:v>
                </c:pt>
                <c:pt idx="74">
                  <c:v>111209</c:v>
                </c:pt>
                <c:pt idx="75">
                  <c:v>115047</c:v>
                </c:pt>
                <c:pt idx="76">
                  <c:v>71256</c:v>
                </c:pt>
                <c:pt idx="77">
                  <c:v>81780</c:v>
                </c:pt>
                <c:pt idx="78">
                  <c:v>93884</c:v>
                </c:pt>
                <c:pt idx="79">
                  <c:v>176417</c:v>
                </c:pt>
                <c:pt idx="80">
                  <c:v>112544</c:v>
                </c:pt>
                <c:pt idx="81">
                  <c:v>131540</c:v>
                </c:pt>
                <c:pt idx="82">
                  <c:v>50491</c:v>
                </c:pt>
                <c:pt idx="83">
                  <c:v>90467</c:v>
                </c:pt>
                <c:pt idx="84">
                  <c:v>60702</c:v>
                </c:pt>
                <c:pt idx="85">
                  <c:v>132627</c:v>
                </c:pt>
                <c:pt idx="86">
                  <c:v>74733</c:v>
                </c:pt>
                <c:pt idx="87">
                  <c:v>93653</c:v>
                </c:pt>
                <c:pt idx="88">
                  <c:v>99783</c:v>
                </c:pt>
                <c:pt idx="89">
                  <c:v>137237</c:v>
                </c:pt>
                <c:pt idx="90">
                  <c:v>53590</c:v>
                </c:pt>
                <c:pt idx="91">
                  <c:v>141943</c:v>
                </c:pt>
                <c:pt idx="92">
                  <c:v>166277</c:v>
                </c:pt>
                <c:pt idx="93">
                  <c:v>66899</c:v>
                </c:pt>
                <c:pt idx="94">
                  <c:v>148293</c:v>
                </c:pt>
                <c:pt idx="95">
                  <c:v>109480</c:v>
                </c:pt>
                <c:pt idx="96">
                  <c:v>97727</c:v>
                </c:pt>
                <c:pt idx="97">
                  <c:v>119205</c:v>
                </c:pt>
                <c:pt idx="98">
                  <c:v>106892</c:v>
                </c:pt>
                <c:pt idx="99">
                  <c:v>62723</c:v>
                </c:pt>
                <c:pt idx="100">
                  <c:v>92035</c:v>
                </c:pt>
                <c:pt idx="101">
                  <c:v>148874</c:v>
                </c:pt>
                <c:pt idx="102">
                  <c:v>68052</c:v>
                </c:pt>
                <c:pt idx="103">
                  <c:v>131641</c:v>
                </c:pt>
                <c:pt idx="104">
                  <c:v>134670</c:v>
                </c:pt>
                <c:pt idx="105">
                  <c:v>75249</c:v>
                </c:pt>
                <c:pt idx="106">
                  <c:v>68335</c:v>
                </c:pt>
                <c:pt idx="107">
                  <c:v>94429</c:v>
                </c:pt>
                <c:pt idx="108">
                  <c:v>76471</c:v>
                </c:pt>
                <c:pt idx="109">
                  <c:v>122524</c:v>
                </c:pt>
                <c:pt idx="110">
                  <c:v>77832</c:v>
                </c:pt>
                <c:pt idx="111">
                  <c:v>89767</c:v>
                </c:pt>
                <c:pt idx="112">
                  <c:v>151883</c:v>
                </c:pt>
                <c:pt idx="113">
                  <c:v>128900</c:v>
                </c:pt>
                <c:pt idx="114">
                  <c:v>50192</c:v>
                </c:pt>
                <c:pt idx="115">
                  <c:v>105321</c:v>
                </c:pt>
                <c:pt idx="116">
                  <c:v>56563</c:v>
                </c:pt>
                <c:pt idx="117">
                  <c:v>134886</c:v>
                </c:pt>
                <c:pt idx="118">
                  <c:v>95905</c:v>
                </c:pt>
                <c:pt idx="119">
                  <c:v>99375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D-4034-AC6B-B17B4AD7BB8E}"/>
            </c:ext>
          </c:extLst>
        </c:ser>
        <c:ser>
          <c:idx val="1"/>
          <c:order val="1"/>
          <c:tx>
            <c:v>3-Month Moving Average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Dataset!$I$2:$I$121</c:f>
              <c:strCache>
                <c:ptCount val="120"/>
                <c:pt idx="0">
                  <c:v>Jan-2016</c:v>
                </c:pt>
                <c:pt idx="1">
                  <c:v>Feb-2016</c:v>
                </c:pt>
                <c:pt idx="2">
                  <c:v>Mar-2016</c:v>
                </c:pt>
                <c:pt idx="3">
                  <c:v>Apr-2016</c:v>
                </c:pt>
                <c:pt idx="4">
                  <c:v>May-2016</c:v>
                </c:pt>
                <c:pt idx="5">
                  <c:v>Jun-2016</c:v>
                </c:pt>
                <c:pt idx="6">
                  <c:v>Jul-2016</c:v>
                </c:pt>
                <c:pt idx="7">
                  <c:v>Aug-2016</c:v>
                </c:pt>
                <c:pt idx="8">
                  <c:v>Sep-2016</c:v>
                </c:pt>
                <c:pt idx="9">
                  <c:v>Oct-2016</c:v>
                </c:pt>
                <c:pt idx="10">
                  <c:v>Nov-2016</c:v>
                </c:pt>
                <c:pt idx="11">
                  <c:v>Dec-2016</c:v>
                </c:pt>
                <c:pt idx="12">
                  <c:v>Jan-2017</c:v>
                </c:pt>
                <c:pt idx="13">
                  <c:v>Feb-2017</c:v>
                </c:pt>
                <c:pt idx="14">
                  <c:v>Mar-2017</c:v>
                </c:pt>
                <c:pt idx="15">
                  <c:v>Apr-2017</c:v>
                </c:pt>
                <c:pt idx="16">
                  <c:v>May-2017</c:v>
                </c:pt>
                <c:pt idx="17">
                  <c:v>Jun-2017</c:v>
                </c:pt>
                <c:pt idx="18">
                  <c:v>Jul-2017</c:v>
                </c:pt>
                <c:pt idx="19">
                  <c:v>Aug-2017</c:v>
                </c:pt>
                <c:pt idx="20">
                  <c:v>Sep-2017</c:v>
                </c:pt>
                <c:pt idx="21">
                  <c:v>Oct-2017</c:v>
                </c:pt>
                <c:pt idx="22">
                  <c:v>Nov-2017</c:v>
                </c:pt>
                <c:pt idx="23">
                  <c:v>Dec-2017</c:v>
                </c:pt>
                <c:pt idx="24">
                  <c:v>Jan-2018</c:v>
                </c:pt>
                <c:pt idx="25">
                  <c:v>Feb-2018</c:v>
                </c:pt>
                <c:pt idx="26">
                  <c:v>Mar-2018</c:v>
                </c:pt>
                <c:pt idx="27">
                  <c:v>Apr-2018</c:v>
                </c:pt>
                <c:pt idx="28">
                  <c:v>May-2018</c:v>
                </c:pt>
                <c:pt idx="29">
                  <c:v>Jun-2018</c:v>
                </c:pt>
                <c:pt idx="30">
                  <c:v>Jul-2018</c:v>
                </c:pt>
                <c:pt idx="31">
                  <c:v>Aug-2018</c:v>
                </c:pt>
                <c:pt idx="32">
                  <c:v>Sep-2018</c:v>
                </c:pt>
                <c:pt idx="33">
                  <c:v>Oct-2018</c:v>
                </c:pt>
                <c:pt idx="34">
                  <c:v>Nov-2018</c:v>
                </c:pt>
                <c:pt idx="35">
                  <c:v>Dec-2018</c:v>
                </c:pt>
                <c:pt idx="36">
                  <c:v>Jan-2019</c:v>
                </c:pt>
                <c:pt idx="37">
                  <c:v>Feb-2019</c:v>
                </c:pt>
                <c:pt idx="38">
                  <c:v>Mar-2019</c:v>
                </c:pt>
                <c:pt idx="39">
                  <c:v>Apr-2019</c:v>
                </c:pt>
                <c:pt idx="40">
                  <c:v>May-2019</c:v>
                </c:pt>
                <c:pt idx="41">
                  <c:v>Jun-2019</c:v>
                </c:pt>
                <c:pt idx="42">
                  <c:v>Jul-2019</c:v>
                </c:pt>
                <c:pt idx="43">
                  <c:v>Aug-2019</c:v>
                </c:pt>
                <c:pt idx="44">
                  <c:v>Sep-2019</c:v>
                </c:pt>
                <c:pt idx="45">
                  <c:v>Oct-2019</c:v>
                </c:pt>
                <c:pt idx="46">
                  <c:v>Nov-2019</c:v>
                </c:pt>
                <c:pt idx="47">
                  <c:v>Dec-2019</c:v>
                </c:pt>
                <c:pt idx="48">
                  <c:v>Jan-2020</c:v>
                </c:pt>
                <c:pt idx="49">
                  <c:v>Feb-2020</c:v>
                </c:pt>
                <c:pt idx="50">
                  <c:v>Mar-2020</c:v>
                </c:pt>
                <c:pt idx="51">
                  <c:v>Apr-2020</c:v>
                </c:pt>
                <c:pt idx="52">
                  <c:v>May-2020</c:v>
                </c:pt>
                <c:pt idx="53">
                  <c:v>Jun-2020</c:v>
                </c:pt>
                <c:pt idx="54">
                  <c:v>Jul-2020</c:v>
                </c:pt>
                <c:pt idx="55">
                  <c:v>Aug-2020</c:v>
                </c:pt>
                <c:pt idx="56">
                  <c:v>Sep-2020</c:v>
                </c:pt>
                <c:pt idx="57">
                  <c:v>Oct-2020</c:v>
                </c:pt>
                <c:pt idx="58">
                  <c:v>Nov-2020</c:v>
                </c:pt>
                <c:pt idx="59">
                  <c:v>Dec-2020</c:v>
                </c:pt>
                <c:pt idx="60">
                  <c:v>Jan-2021</c:v>
                </c:pt>
                <c:pt idx="61">
                  <c:v>Feb-2021</c:v>
                </c:pt>
                <c:pt idx="62">
                  <c:v>Mar-2021</c:v>
                </c:pt>
                <c:pt idx="63">
                  <c:v>Apr-2021</c:v>
                </c:pt>
                <c:pt idx="64">
                  <c:v>May-2021</c:v>
                </c:pt>
                <c:pt idx="65">
                  <c:v>Jun-2021</c:v>
                </c:pt>
                <c:pt idx="66">
                  <c:v>Jul-2021</c:v>
                </c:pt>
                <c:pt idx="67">
                  <c:v>Aug-2021</c:v>
                </c:pt>
                <c:pt idx="68">
                  <c:v>Sep-2021</c:v>
                </c:pt>
                <c:pt idx="69">
                  <c:v>Oct-2021</c:v>
                </c:pt>
                <c:pt idx="70">
                  <c:v>Nov-2021</c:v>
                </c:pt>
                <c:pt idx="71">
                  <c:v>Dec-2021</c:v>
                </c:pt>
                <c:pt idx="72">
                  <c:v>Jan-2022</c:v>
                </c:pt>
                <c:pt idx="73">
                  <c:v>Feb-2022</c:v>
                </c:pt>
                <c:pt idx="74">
                  <c:v>Mar-2022</c:v>
                </c:pt>
                <c:pt idx="75">
                  <c:v>Apr-2022</c:v>
                </c:pt>
                <c:pt idx="76">
                  <c:v>May-2022</c:v>
                </c:pt>
                <c:pt idx="77">
                  <c:v>Jun-2022</c:v>
                </c:pt>
                <c:pt idx="78">
                  <c:v>Jul-2022</c:v>
                </c:pt>
                <c:pt idx="79">
                  <c:v>Aug-2022</c:v>
                </c:pt>
                <c:pt idx="80">
                  <c:v>Sep-2022</c:v>
                </c:pt>
                <c:pt idx="81">
                  <c:v>Oct-2022</c:v>
                </c:pt>
                <c:pt idx="82">
                  <c:v>Nov-2022</c:v>
                </c:pt>
                <c:pt idx="83">
                  <c:v>Dec-2022</c:v>
                </c:pt>
                <c:pt idx="84">
                  <c:v>Jan-2023</c:v>
                </c:pt>
                <c:pt idx="85">
                  <c:v>Feb-2023</c:v>
                </c:pt>
                <c:pt idx="86">
                  <c:v>Mar-2023</c:v>
                </c:pt>
                <c:pt idx="87">
                  <c:v>Apr-2023</c:v>
                </c:pt>
                <c:pt idx="88">
                  <c:v>May-2023</c:v>
                </c:pt>
                <c:pt idx="89">
                  <c:v>Jun-2023</c:v>
                </c:pt>
                <c:pt idx="90">
                  <c:v>Jul-2023</c:v>
                </c:pt>
                <c:pt idx="91">
                  <c:v>Aug-2023</c:v>
                </c:pt>
                <c:pt idx="92">
                  <c:v>Sep-2023</c:v>
                </c:pt>
                <c:pt idx="93">
                  <c:v>Oct-2023</c:v>
                </c:pt>
                <c:pt idx="94">
                  <c:v>Nov-2023</c:v>
                </c:pt>
                <c:pt idx="95">
                  <c:v>Dec-2023</c:v>
                </c:pt>
                <c:pt idx="96">
                  <c:v>Jan-2024</c:v>
                </c:pt>
                <c:pt idx="97">
                  <c:v>Feb-2024</c:v>
                </c:pt>
                <c:pt idx="98">
                  <c:v>Mar-2024</c:v>
                </c:pt>
                <c:pt idx="99">
                  <c:v>Apr-2024</c:v>
                </c:pt>
                <c:pt idx="100">
                  <c:v>May-2024</c:v>
                </c:pt>
                <c:pt idx="101">
                  <c:v>Jun-2024</c:v>
                </c:pt>
                <c:pt idx="102">
                  <c:v>Jul-2024</c:v>
                </c:pt>
                <c:pt idx="103">
                  <c:v>Aug-2024</c:v>
                </c:pt>
                <c:pt idx="104">
                  <c:v>Sep-2024</c:v>
                </c:pt>
                <c:pt idx="105">
                  <c:v>Oct-2024</c:v>
                </c:pt>
                <c:pt idx="106">
                  <c:v>Nov-2024</c:v>
                </c:pt>
                <c:pt idx="107">
                  <c:v>Dec-2024</c:v>
                </c:pt>
                <c:pt idx="108">
                  <c:v>Jan-2025</c:v>
                </c:pt>
                <c:pt idx="109">
                  <c:v>Feb-2025</c:v>
                </c:pt>
                <c:pt idx="110">
                  <c:v>Mar-2025</c:v>
                </c:pt>
                <c:pt idx="111">
                  <c:v>Apr-2025</c:v>
                </c:pt>
                <c:pt idx="112">
                  <c:v>May-2025</c:v>
                </c:pt>
                <c:pt idx="113">
                  <c:v>Jun-2025</c:v>
                </c:pt>
                <c:pt idx="114">
                  <c:v>Jul-2025</c:v>
                </c:pt>
                <c:pt idx="115">
                  <c:v>Aug-2025</c:v>
                </c:pt>
                <c:pt idx="116">
                  <c:v>Sep-2025</c:v>
                </c:pt>
                <c:pt idx="117">
                  <c:v>Oct-2025</c:v>
                </c:pt>
                <c:pt idx="118">
                  <c:v>Nov-2025</c:v>
                </c:pt>
                <c:pt idx="119">
                  <c:v>Dec-2025</c:v>
                </c:pt>
              </c:strCache>
            </c:strRef>
          </c:cat>
          <c:val>
            <c:numRef>
              <c:f>Dataset!$O$2:$O$121</c:f>
              <c:numCache>
                <c:formatCode>_("$"* #,##0.00_);_("$"* \(#,##0.00\);_("$"* "-"??_);_(@_)</c:formatCode>
                <c:ptCount val="120"/>
                <c:pt idx="2">
                  <c:v>106147.33333333333</c:v>
                </c:pt>
                <c:pt idx="3">
                  <c:v>122216.66666666667</c:v>
                </c:pt>
                <c:pt idx="4">
                  <c:v>133373.66666666666</c:v>
                </c:pt>
                <c:pt idx="5">
                  <c:v>137359.66666666666</c:v>
                </c:pt>
                <c:pt idx="6">
                  <c:v>113008.33333333333</c:v>
                </c:pt>
                <c:pt idx="7">
                  <c:v>111372.33333333333</c:v>
                </c:pt>
                <c:pt idx="8">
                  <c:v>103719.66666666667</c:v>
                </c:pt>
                <c:pt idx="9">
                  <c:v>113047</c:v>
                </c:pt>
                <c:pt idx="10">
                  <c:v>99364</c:v>
                </c:pt>
                <c:pt idx="11">
                  <c:v>96706.333333333328</c:v>
                </c:pt>
                <c:pt idx="12">
                  <c:v>89041.666666666672</c:v>
                </c:pt>
                <c:pt idx="13">
                  <c:v>116607</c:v>
                </c:pt>
                <c:pt idx="14">
                  <c:v>107906.33333333333</c:v>
                </c:pt>
                <c:pt idx="15">
                  <c:v>112678.33333333333</c:v>
                </c:pt>
                <c:pt idx="16">
                  <c:v>112535.33333333333</c:v>
                </c:pt>
                <c:pt idx="17">
                  <c:v>102575</c:v>
                </c:pt>
                <c:pt idx="18">
                  <c:v>120475.66666666667</c:v>
                </c:pt>
                <c:pt idx="19">
                  <c:v>120654</c:v>
                </c:pt>
                <c:pt idx="20">
                  <c:v>116070.66666666667</c:v>
                </c:pt>
                <c:pt idx="21">
                  <c:v>109039.33333333333</c:v>
                </c:pt>
                <c:pt idx="22">
                  <c:v>110200.33333333333</c:v>
                </c:pt>
                <c:pt idx="23">
                  <c:v>105140.66666666667</c:v>
                </c:pt>
                <c:pt idx="24">
                  <c:v>83580</c:v>
                </c:pt>
                <c:pt idx="25">
                  <c:v>51932.333333333336</c:v>
                </c:pt>
                <c:pt idx="26">
                  <c:v>88635.666666666672</c:v>
                </c:pt>
                <c:pt idx="27">
                  <c:v>86051</c:v>
                </c:pt>
                <c:pt idx="28">
                  <c:v>96102.666666666672</c:v>
                </c:pt>
                <c:pt idx="29">
                  <c:v>74898.333333333328</c:v>
                </c:pt>
                <c:pt idx="30">
                  <c:v>99721</c:v>
                </c:pt>
                <c:pt idx="31">
                  <c:v>118800.33333333333</c:v>
                </c:pt>
                <c:pt idx="32">
                  <c:v>117303.33333333333</c:v>
                </c:pt>
                <c:pt idx="33">
                  <c:v>119416.33333333333</c:v>
                </c:pt>
                <c:pt idx="34">
                  <c:v>111531.33333333333</c:v>
                </c:pt>
                <c:pt idx="35">
                  <c:v>112753.66666666667</c:v>
                </c:pt>
                <c:pt idx="36">
                  <c:v>107963.66666666667</c:v>
                </c:pt>
                <c:pt idx="37">
                  <c:v>113728.33333333333</c:v>
                </c:pt>
                <c:pt idx="38">
                  <c:v>102661.66666666667</c:v>
                </c:pt>
                <c:pt idx="39">
                  <c:v>93045.333333333328</c:v>
                </c:pt>
                <c:pt idx="40">
                  <c:v>87203</c:v>
                </c:pt>
                <c:pt idx="41">
                  <c:v>96102.333333333328</c:v>
                </c:pt>
                <c:pt idx="42">
                  <c:v>82563.333333333328</c:v>
                </c:pt>
                <c:pt idx="43">
                  <c:v>74287.333333333328</c:v>
                </c:pt>
                <c:pt idx="44">
                  <c:v>70042.333333333328</c:v>
                </c:pt>
                <c:pt idx="45">
                  <c:v>63917</c:v>
                </c:pt>
                <c:pt idx="46">
                  <c:v>48726.666666666664</c:v>
                </c:pt>
                <c:pt idx="47">
                  <c:v>72584</c:v>
                </c:pt>
                <c:pt idx="48">
                  <c:v>107027.66666666667</c:v>
                </c:pt>
                <c:pt idx="49">
                  <c:v>127902.33333333333</c:v>
                </c:pt>
                <c:pt idx="50">
                  <c:v>112684.66666666667</c:v>
                </c:pt>
                <c:pt idx="51">
                  <c:v>109357</c:v>
                </c:pt>
                <c:pt idx="52">
                  <c:v>91100.333333333328</c:v>
                </c:pt>
                <c:pt idx="53">
                  <c:v>120542</c:v>
                </c:pt>
                <c:pt idx="54">
                  <c:v>125900</c:v>
                </c:pt>
                <c:pt idx="55">
                  <c:v>154263.33333333334</c:v>
                </c:pt>
                <c:pt idx="56">
                  <c:v>112219</c:v>
                </c:pt>
                <c:pt idx="57">
                  <c:v>79097.333333333328</c:v>
                </c:pt>
                <c:pt idx="58">
                  <c:v>65327.666666666664</c:v>
                </c:pt>
                <c:pt idx="59">
                  <c:v>84349.666666666672</c:v>
                </c:pt>
                <c:pt idx="60">
                  <c:v>111010</c:v>
                </c:pt>
                <c:pt idx="61">
                  <c:v>117561</c:v>
                </c:pt>
                <c:pt idx="62">
                  <c:v>105857</c:v>
                </c:pt>
                <c:pt idx="63">
                  <c:v>114121.33333333333</c:v>
                </c:pt>
                <c:pt idx="64">
                  <c:v>123271.33333333333</c:v>
                </c:pt>
                <c:pt idx="65">
                  <c:v>125542</c:v>
                </c:pt>
                <c:pt idx="66">
                  <c:v>115381</c:v>
                </c:pt>
                <c:pt idx="67">
                  <c:v>90366.666666666672</c:v>
                </c:pt>
                <c:pt idx="68">
                  <c:v>111796</c:v>
                </c:pt>
                <c:pt idx="69">
                  <c:v>106966.66666666667</c:v>
                </c:pt>
                <c:pt idx="70">
                  <c:v>112776.33333333333</c:v>
                </c:pt>
                <c:pt idx="71">
                  <c:v>95458.666666666672</c:v>
                </c:pt>
                <c:pt idx="72">
                  <c:v>77765.333333333328</c:v>
                </c:pt>
                <c:pt idx="73">
                  <c:v>103448</c:v>
                </c:pt>
                <c:pt idx="74">
                  <c:v>110489</c:v>
                </c:pt>
                <c:pt idx="75">
                  <c:v>130432.66666666667</c:v>
                </c:pt>
                <c:pt idx="76">
                  <c:v>99170.666666666672</c:v>
                </c:pt>
                <c:pt idx="77">
                  <c:v>89361</c:v>
                </c:pt>
                <c:pt idx="78">
                  <c:v>82306.666666666672</c:v>
                </c:pt>
                <c:pt idx="79">
                  <c:v>117360.33333333333</c:v>
                </c:pt>
                <c:pt idx="80">
                  <c:v>127615</c:v>
                </c:pt>
                <c:pt idx="81">
                  <c:v>140167</c:v>
                </c:pt>
                <c:pt idx="82">
                  <c:v>98191.666666666672</c:v>
                </c:pt>
                <c:pt idx="83">
                  <c:v>90832.666666666672</c:v>
                </c:pt>
                <c:pt idx="84">
                  <c:v>67220</c:v>
                </c:pt>
                <c:pt idx="85">
                  <c:v>94598.666666666672</c:v>
                </c:pt>
                <c:pt idx="86">
                  <c:v>89354</c:v>
                </c:pt>
                <c:pt idx="87">
                  <c:v>100337.66666666667</c:v>
                </c:pt>
                <c:pt idx="88">
                  <c:v>89389.666666666672</c:v>
                </c:pt>
                <c:pt idx="89">
                  <c:v>110224.33333333333</c:v>
                </c:pt>
                <c:pt idx="90">
                  <c:v>96870</c:v>
                </c:pt>
                <c:pt idx="91">
                  <c:v>110923.33333333333</c:v>
                </c:pt>
                <c:pt idx="92">
                  <c:v>120603.33333333333</c:v>
                </c:pt>
                <c:pt idx="93">
                  <c:v>125039.66666666667</c:v>
                </c:pt>
                <c:pt idx="94">
                  <c:v>127156.33333333333</c:v>
                </c:pt>
                <c:pt idx="95">
                  <c:v>108224</c:v>
                </c:pt>
                <c:pt idx="96">
                  <c:v>118500</c:v>
                </c:pt>
                <c:pt idx="97">
                  <c:v>108804</c:v>
                </c:pt>
                <c:pt idx="98">
                  <c:v>107941.33333333333</c:v>
                </c:pt>
                <c:pt idx="99">
                  <c:v>96273.333333333328</c:v>
                </c:pt>
                <c:pt idx="100">
                  <c:v>87216.666666666672</c:v>
                </c:pt>
                <c:pt idx="101">
                  <c:v>101210.66666666667</c:v>
                </c:pt>
                <c:pt idx="102">
                  <c:v>102987</c:v>
                </c:pt>
                <c:pt idx="103">
                  <c:v>116189</c:v>
                </c:pt>
                <c:pt idx="104">
                  <c:v>111454.33333333333</c:v>
                </c:pt>
                <c:pt idx="105">
                  <c:v>113853.33333333333</c:v>
                </c:pt>
                <c:pt idx="106">
                  <c:v>92751.333333333328</c:v>
                </c:pt>
                <c:pt idx="107">
                  <c:v>79337.666666666672</c:v>
                </c:pt>
                <c:pt idx="108">
                  <c:v>79745</c:v>
                </c:pt>
                <c:pt idx="109">
                  <c:v>97808</c:v>
                </c:pt>
                <c:pt idx="110">
                  <c:v>92275.666666666672</c:v>
                </c:pt>
                <c:pt idx="111">
                  <c:v>96707.666666666672</c:v>
                </c:pt>
                <c:pt idx="112">
                  <c:v>106494</c:v>
                </c:pt>
                <c:pt idx="113">
                  <c:v>123516.66666666667</c:v>
                </c:pt>
                <c:pt idx="114">
                  <c:v>110325</c:v>
                </c:pt>
                <c:pt idx="115">
                  <c:v>94804.333333333328</c:v>
                </c:pt>
                <c:pt idx="116">
                  <c:v>70692</c:v>
                </c:pt>
                <c:pt idx="117">
                  <c:v>98923.333333333328</c:v>
                </c:pt>
                <c:pt idx="118">
                  <c:v>95784.666666666672</c:v>
                </c:pt>
                <c:pt idx="119">
                  <c:v>110055.33333333333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D-4034-AC6B-B17B4AD7BB8E}"/>
            </c:ext>
          </c:extLst>
        </c:ser>
        <c:ser>
          <c:idx val="2"/>
          <c:order val="2"/>
          <c:tx>
            <c:v>4-Month Moving Average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Dataset!$I$2:$I$121</c:f>
              <c:strCache>
                <c:ptCount val="120"/>
                <c:pt idx="0">
                  <c:v>Jan-2016</c:v>
                </c:pt>
                <c:pt idx="1">
                  <c:v>Feb-2016</c:v>
                </c:pt>
                <c:pt idx="2">
                  <c:v>Mar-2016</c:v>
                </c:pt>
                <c:pt idx="3">
                  <c:v>Apr-2016</c:v>
                </c:pt>
                <c:pt idx="4">
                  <c:v>May-2016</c:v>
                </c:pt>
                <c:pt idx="5">
                  <c:v>Jun-2016</c:v>
                </c:pt>
                <c:pt idx="6">
                  <c:v>Jul-2016</c:v>
                </c:pt>
                <c:pt idx="7">
                  <c:v>Aug-2016</c:v>
                </c:pt>
                <c:pt idx="8">
                  <c:v>Sep-2016</c:v>
                </c:pt>
                <c:pt idx="9">
                  <c:v>Oct-2016</c:v>
                </c:pt>
                <c:pt idx="10">
                  <c:v>Nov-2016</c:v>
                </c:pt>
                <c:pt idx="11">
                  <c:v>Dec-2016</c:v>
                </c:pt>
                <c:pt idx="12">
                  <c:v>Jan-2017</c:v>
                </c:pt>
                <c:pt idx="13">
                  <c:v>Feb-2017</c:v>
                </c:pt>
                <c:pt idx="14">
                  <c:v>Mar-2017</c:v>
                </c:pt>
                <c:pt idx="15">
                  <c:v>Apr-2017</c:v>
                </c:pt>
                <c:pt idx="16">
                  <c:v>May-2017</c:v>
                </c:pt>
                <c:pt idx="17">
                  <c:v>Jun-2017</c:v>
                </c:pt>
                <c:pt idx="18">
                  <c:v>Jul-2017</c:v>
                </c:pt>
                <c:pt idx="19">
                  <c:v>Aug-2017</c:v>
                </c:pt>
                <c:pt idx="20">
                  <c:v>Sep-2017</c:v>
                </c:pt>
                <c:pt idx="21">
                  <c:v>Oct-2017</c:v>
                </c:pt>
                <c:pt idx="22">
                  <c:v>Nov-2017</c:v>
                </c:pt>
                <c:pt idx="23">
                  <c:v>Dec-2017</c:v>
                </c:pt>
                <c:pt idx="24">
                  <c:v>Jan-2018</c:v>
                </c:pt>
                <c:pt idx="25">
                  <c:v>Feb-2018</c:v>
                </c:pt>
                <c:pt idx="26">
                  <c:v>Mar-2018</c:v>
                </c:pt>
                <c:pt idx="27">
                  <c:v>Apr-2018</c:v>
                </c:pt>
                <c:pt idx="28">
                  <c:v>May-2018</c:v>
                </c:pt>
                <c:pt idx="29">
                  <c:v>Jun-2018</c:v>
                </c:pt>
                <c:pt idx="30">
                  <c:v>Jul-2018</c:v>
                </c:pt>
                <c:pt idx="31">
                  <c:v>Aug-2018</c:v>
                </c:pt>
                <c:pt idx="32">
                  <c:v>Sep-2018</c:v>
                </c:pt>
                <c:pt idx="33">
                  <c:v>Oct-2018</c:v>
                </c:pt>
                <c:pt idx="34">
                  <c:v>Nov-2018</c:v>
                </c:pt>
                <c:pt idx="35">
                  <c:v>Dec-2018</c:v>
                </c:pt>
                <c:pt idx="36">
                  <c:v>Jan-2019</c:v>
                </c:pt>
                <c:pt idx="37">
                  <c:v>Feb-2019</c:v>
                </c:pt>
                <c:pt idx="38">
                  <c:v>Mar-2019</c:v>
                </c:pt>
                <c:pt idx="39">
                  <c:v>Apr-2019</c:v>
                </c:pt>
                <c:pt idx="40">
                  <c:v>May-2019</c:v>
                </c:pt>
                <c:pt idx="41">
                  <c:v>Jun-2019</c:v>
                </c:pt>
                <c:pt idx="42">
                  <c:v>Jul-2019</c:v>
                </c:pt>
                <c:pt idx="43">
                  <c:v>Aug-2019</c:v>
                </c:pt>
                <c:pt idx="44">
                  <c:v>Sep-2019</c:v>
                </c:pt>
                <c:pt idx="45">
                  <c:v>Oct-2019</c:v>
                </c:pt>
                <c:pt idx="46">
                  <c:v>Nov-2019</c:v>
                </c:pt>
                <c:pt idx="47">
                  <c:v>Dec-2019</c:v>
                </c:pt>
                <c:pt idx="48">
                  <c:v>Jan-2020</c:v>
                </c:pt>
                <c:pt idx="49">
                  <c:v>Feb-2020</c:v>
                </c:pt>
                <c:pt idx="50">
                  <c:v>Mar-2020</c:v>
                </c:pt>
                <c:pt idx="51">
                  <c:v>Apr-2020</c:v>
                </c:pt>
                <c:pt idx="52">
                  <c:v>May-2020</c:v>
                </c:pt>
                <c:pt idx="53">
                  <c:v>Jun-2020</c:v>
                </c:pt>
                <c:pt idx="54">
                  <c:v>Jul-2020</c:v>
                </c:pt>
                <c:pt idx="55">
                  <c:v>Aug-2020</c:v>
                </c:pt>
                <c:pt idx="56">
                  <c:v>Sep-2020</c:v>
                </c:pt>
                <c:pt idx="57">
                  <c:v>Oct-2020</c:v>
                </c:pt>
                <c:pt idx="58">
                  <c:v>Nov-2020</c:v>
                </c:pt>
                <c:pt idx="59">
                  <c:v>Dec-2020</c:v>
                </c:pt>
                <c:pt idx="60">
                  <c:v>Jan-2021</c:v>
                </c:pt>
                <c:pt idx="61">
                  <c:v>Feb-2021</c:v>
                </c:pt>
                <c:pt idx="62">
                  <c:v>Mar-2021</c:v>
                </c:pt>
                <c:pt idx="63">
                  <c:v>Apr-2021</c:v>
                </c:pt>
                <c:pt idx="64">
                  <c:v>May-2021</c:v>
                </c:pt>
                <c:pt idx="65">
                  <c:v>Jun-2021</c:v>
                </c:pt>
                <c:pt idx="66">
                  <c:v>Jul-2021</c:v>
                </c:pt>
                <c:pt idx="67">
                  <c:v>Aug-2021</c:v>
                </c:pt>
                <c:pt idx="68">
                  <c:v>Sep-2021</c:v>
                </c:pt>
                <c:pt idx="69">
                  <c:v>Oct-2021</c:v>
                </c:pt>
                <c:pt idx="70">
                  <c:v>Nov-2021</c:v>
                </c:pt>
                <c:pt idx="71">
                  <c:v>Dec-2021</c:v>
                </c:pt>
                <c:pt idx="72">
                  <c:v>Jan-2022</c:v>
                </c:pt>
                <c:pt idx="73">
                  <c:v>Feb-2022</c:v>
                </c:pt>
                <c:pt idx="74">
                  <c:v>Mar-2022</c:v>
                </c:pt>
                <c:pt idx="75">
                  <c:v>Apr-2022</c:v>
                </c:pt>
                <c:pt idx="76">
                  <c:v>May-2022</c:v>
                </c:pt>
                <c:pt idx="77">
                  <c:v>Jun-2022</c:v>
                </c:pt>
                <c:pt idx="78">
                  <c:v>Jul-2022</c:v>
                </c:pt>
                <c:pt idx="79">
                  <c:v>Aug-2022</c:v>
                </c:pt>
                <c:pt idx="80">
                  <c:v>Sep-2022</c:v>
                </c:pt>
                <c:pt idx="81">
                  <c:v>Oct-2022</c:v>
                </c:pt>
                <c:pt idx="82">
                  <c:v>Nov-2022</c:v>
                </c:pt>
                <c:pt idx="83">
                  <c:v>Dec-2022</c:v>
                </c:pt>
                <c:pt idx="84">
                  <c:v>Jan-2023</c:v>
                </c:pt>
                <c:pt idx="85">
                  <c:v>Feb-2023</c:v>
                </c:pt>
                <c:pt idx="86">
                  <c:v>Mar-2023</c:v>
                </c:pt>
                <c:pt idx="87">
                  <c:v>Apr-2023</c:v>
                </c:pt>
                <c:pt idx="88">
                  <c:v>May-2023</c:v>
                </c:pt>
                <c:pt idx="89">
                  <c:v>Jun-2023</c:v>
                </c:pt>
                <c:pt idx="90">
                  <c:v>Jul-2023</c:v>
                </c:pt>
                <c:pt idx="91">
                  <c:v>Aug-2023</c:v>
                </c:pt>
                <c:pt idx="92">
                  <c:v>Sep-2023</c:v>
                </c:pt>
                <c:pt idx="93">
                  <c:v>Oct-2023</c:v>
                </c:pt>
                <c:pt idx="94">
                  <c:v>Nov-2023</c:v>
                </c:pt>
                <c:pt idx="95">
                  <c:v>Dec-2023</c:v>
                </c:pt>
                <c:pt idx="96">
                  <c:v>Jan-2024</c:v>
                </c:pt>
                <c:pt idx="97">
                  <c:v>Feb-2024</c:v>
                </c:pt>
                <c:pt idx="98">
                  <c:v>Mar-2024</c:v>
                </c:pt>
                <c:pt idx="99">
                  <c:v>Apr-2024</c:v>
                </c:pt>
                <c:pt idx="100">
                  <c:v>May-2024</c:v>
                </c:pt>
                <c:pt idx="101">
                  <c:v>Jun-2024</c:v>
                </c:pt>
                <c:pt idx="102">
                  <c:v>Jul-2024</c:v>
                </c:pt>
                <c:pt idx="103">
                  <c:v>Aug-2024</c:v>
                </c:pt>
                <c:pt idx="104">
                  <c:v>Sep-2024</c:v>
                </c:pt>
                <c:pt idx="105">
                  <c:v>Oct-2024</c:v>
                </c:pt>
                <c:pt idx="106">
                  <c:v>Nov-2024</c:v>
                </c:pt>
                <c:pt idx="107">
                  <c:v>Dec-2024</c:v>
                </c:pt>
                <c:pt idx="108">
                  <c:v>Jan-2025</c:v>
                </c:pt>
                <c:pt idx="109">
                  <c:v>Feb-2025</c:v>
                </c:pt>
                <c:pt idx="110">
                  <c:v>Mar-2025</c:v>
                </c:pt>
                <c:pt idx="111">
                  <c:v>Apr-2025</c:v>
                </c:pt>
                <c:pt idx="112">
                  <c:v>May-2025</c:v>
                </c:pt>
                <c:pt idx="113">
                  <c:v>Jun-2025</c:v>
                </c:pt>
                <c:pt idx="114">
                  <c:v>Jul-2025</c:v>
                </c:pt>
                <c:pt idx="115">
                  <c:v>Aug-2025</c:v>
                </c:pt>
                <c:pt idx="116">
                  <c:v>Sep-2025</c:v>
                </c:pt>
                <c:pt idx="117">
                  <c:v>Oct-2025</c:v>
                </c:pt>
                <c:pt idx="118">
                  <c:v>Nov-2025</c:v>
                </c:pt>
                <c:pt idx="119">
                  <c:v>Dec-2025</c:v>
                </c:pt>
              </c:strCache>
            </c:strRef>
          </c:cat>
          <c:val>
            <c:numRef>
              <c:f>Dataset!$P$2:$P$121</c:f>
              <c:numCache>
                <c:formatCode>_("$"* #,##0.00_);_("$"* \(#,##0.00\);_("$"* "-"??_);_(@_)</c:formatCode>
                <c:ptCount val="120"/>
                <c:pt idx="3">
                  <c:v>117965.25</c:v>
                </c:pt>
                <c:pt idx="4">
                  <c:v>118757.25</c:v>
                </c:pt>
                <c:pt idx="5">
                  <c:v>137600.5</c:v>
                </c:pt>
                <c:pt idx="6">
                  <c:v>123111</c:v>
                </c:pt>
                <c:pt idx="7">
                  <c:v>110624</c:v>
                </c:pt>
                <c:pt idx="8">
                  <c:v>115360</c:v>
                </c:pt>
                <c:pt idx="9">
                  <c:v>104876.5</c:v>
                </c:pt>
                <c:pt idx="10">
                  <c:v>100390.75</c:v>
                </c:pt>
                <c:pt idx="11">
                  <c:v>104360.5</c:v>
                </c:pt>
                <c:pt idx="12">
                  <c:v>93868</c:v>
                </c:pt>
                <c:pt idx="13">
                  <c:v>103060.75</c:v>
                </c:pt>
                <c:pt idx="14">
                  <c:v>110767.25</c:v>
                </c:pt>
                <c:pt idx="15">
                  <c:v>105847</c:v>
                </c:pt>
                <c:pt idx="16">
                  <c:v>120681</c:v>
                </c:pt>
                <c:pt idx="17">
                  <c:v>100243.25</c:v>
                </c:pt>
                <c:pt idx="18">
                  <c:v>115274</c:v>
                </c:pt>
                <c:pt idx="19">
                  <c:v>126662.75</c:v>
                </c:pt>
                <c:pt idx="20">
                  <c:v>102894.75</c:v>
                </c:pt>
                <c:pt idx="21">
                  <c:v>120122.25</c:v>
                </c:pt>
                <c:pt idx="22">
                  <c:v>118956.25</c:v>
                </c:pt>
                <c:pt idx="23">
                  <c:v>91259.75</c:v>
                </c:pt>
                <c:pt idx="24">
                  <c:v>95754.25</c:v>
                </c:pt>
                <c:pt idx="25">
                  <c:v>76126</c:v>
                </c:pt>
                <c:pt idx="26">
                  <c:v>75086.25</c:v>
                </c:pt>
                <c:pt idx="27">
                  <c:v>81437</c:v>
                </c:pt>
                <c:pt idx="28">
                  <c:v>85518</c:v>
                </c:pt>
                <c:pt idx="29">
                  <c:v>92310.75</c:v>
                </c:pt>
                <c:pt idx="30">
                  <c:v>89751</c:v>
                </c:pt>
                <c:pt idx="31">
                  <c:v>110080</c:v>
                </c:pt>
                <c:pt idx="32">
                  <c:v>108211.25</c:v>
                </c:pt>
                <c:pt idx="33">
                  <c:v>123139.5</c:v>
                </c:pt>
                <c:pt idx="34">
                  <c:v>118937.75</c:v>
                </c:pt>
                <c:pt idx="35">
                  <c:v>103676.25</c:v>
                </c:pt>
                <c:pt idx="36">
                  <c:v>116134.75</c:v>
                </c:pt>
                <c:pt idx="37">
                  <c:v>114671.75</c:v>
                </c:pt>
                <c:pt idx="38">
                  <c:v>97024</c:v>
                </c:pt>
                <c:pt idx="39">
                  <c:v>101353.5</c:v>
                </c:pt>
                <c:pt idx="40">
                  <c:v>99101.25</c:v>
                </c:pt>
                <c:pt idx="41">
                  <c:v>83804.5</c:v>
                </c:pt>
                <c:pt idx="42">
                  <c:v>86279.75</c:v>
                </c:pt>
                <c:pt idx="43">
                  <c:v>85032.75</c:v>
                </c:pt>
                <c:pt idx="44">
                  <c:v>70934</c:v>
                </c:pt>
                <c:pt idx="45">
                  <c:v>62140.75</c:v>
                </c:pt>
                <c:pt idx="46">
                  <c:v>59655.25</c:v>
                </c:pt>
                <c:pt idx="47">
                  <c:v>69656.5</c:v>
                </c:pt>
                <c:pt idx="48">
                  <c:v>89879.75</c:v>
                </c:pt>
                <c:pt idx="49">
                  <c:v>107644.25</c:v>
                </c:pt>
                <c:pt idx="50">
                  <c:v>117625</c:v>
                </c:pt>
                <c:pt idx="51">
                  <c:v>117459.5</c:v>
                </c:pt>
                <c:pt idx="52">
                  <c:v>95698.75</c:v>
                </c:pt>
                <c:pt idx="53">
                  <c:v>112104.75</c:v>
                </c:pt>
                <c:pt idx="54">
                  <c:v>127371</c:v>
                </c:pt>
                <c:pt idx="55">
                  <c:v>129378.5</c:v>
                </c:pt>
                <c:pt idx="56">
                  <c:v>127943.75</c:v>
                </c:pt>
                <c:pt idx="57">
                  <c:v>96287.5</c:v>
                </c:pt>
                <c:pt idx="58">
                  <c:v>83949.25</c:v>
                </c:pt>
                <c:pt idx="59">
                  <c:v>75508.5</c:v>
                </c:pt>
                <c:pt idx="60">
                  <c:v>95380.75</c:v>
                </c:pt>
                <c:pt idx="61">
                  <c:v>112797</c:v>
                </c:pt>
                <c:pt idx="62">
                  <c:v>105905.5</c:v>
                </c:pt>
                <c:pt idx="63">
                  <c:v>117709.5</c:v>
                </c:pt>
                <c:pt idx="64">
                  <c:v>121993</c:v>
                </c:pt>
                <c:pt idx="65">
                  <c:v>111891.25</c:v>
                </c:pt>
                <c:pt idx="66">
                  <c:v>124852.5</c:v>
                </c:pt>
                <c:pt idx="67">
                  <c:v>104177</c:v>
                </c:pt>
                <c:pt idx="68">
                  <c:v>103284.75</c:v>
                </c:pt>
                <c:pt idx="69">
                  <c:v>110921</c:v>
                </c:pt>
                <c:pt idx="70">
                  <c:v>102223.5</c:v>
                </c:pt>
                <c:pt idx="71">
                  <c:v>107103.75</c:v>
                </c:pt>
                <c:pt idx="72">
                  <c:v>85398</c:v>
                </c:pt>
                <c:pt idx="73">
                  <c:v>99584.5</c:v>
                </c:pt>
                <c:pt idx="74">
                  <c:v>105388.25</c:v>
                </c:pt>
                <c:pt idx="75">
                  <c:v>111628.5</c:v>
                </c:pt>
                <c:pt idx="76">
                  <c:v>115638.5</c:v>
                </c:pt>
                <c:pt idx="77">
                  <c:v>94823</c:v>
                </c:pt>
                <c:pt idx="78">
                  <c:v>90491.75</c:v>
                </c:pt>
                <c:pt idx="79">
                  <c:v>105834.25</c:v>
                </c:pt>
                <c:pt idx="80">
                  <c:v>116156.25</c:v>
                </c:pt>
                <c:pt idx="81">
                  <c:v>128596.25</c:v>
                </c:pt>
                <c:pt idx="82">
                  <c:v>117748</c:v>
                </c:pt>
                <c:pt idx="83">
                  <c:v>96260.5</c:v>
                </c:pt>
                <c:pt idx="84">
                  <c:v>83300</c:v>
                </c:pt>
                <c:pt idx="85">
                  <c:v>83571.75</c:v>
                </c:pt>
                <c:pt idx="86">
                  <c:v>89632.25</c:v>
                </c:pt>
                <c:pt idx="87">
                  <c:v>90428.75</c:v>
                </c:pt>
                <c:pt idx="88">
                  <c:v>100199</c:v>
                </c:pt>
                <c:pt idx="89">
                  <c:v>101351.5</c:v>
                </c:pt>
                <c:pt idx="90">
                  <c:v>96065.75</c:v>
                </c:pt>
                <c:pt idx="91">
                  <c:v>108138.25</c:v>
                </c:pt>
                <c:pt idx="92">
                  <c:v>124761.75</c:v>
                </c:pt>
                <c:pt idx="93">
                  <c:v>107177.25</c:v>
                </c:pt>
                <c:pt idx="94">
                  <c:v>130853</c:v>
                </c:pt>
                <c:pt idx="95">
                  <c:v>122737.25</c:v>
                </c:pt>
                <c:pt idx="96">
                  <c:v>105599.75</c:v>
                </c:pt>
                <c:pt idx="97">
                  <c:v>118676.25</c:v>
                </c:pt>
                <c:pt idx="98">
                  <c:v>108326</c:v>
                </c:pt>
                <c:pt idx="99">
                  <c:v>96636.75</c:v>
                </c:pt>
                <c:pt idx="100">
                  <c:v>95213.75</c:v>
                </c:pt>
                <c:pt idx="101">
                  <c:v>102631</c:v>
                </c:pt>
                <c:pt idx="102">
                  <c:v>92921</c:v>
                </c:pt>
                <c:pt idx="103">
                  <c:v>110150.5</c:v>
                </c:pt>
                <c:pt idx="104">
                  <c:v>120809.25</c:v>
                </c:pt>
                <c:pt idx="105">
                  <c:v>102403</c:v>
                </c:pt>
                <c:pt idx="106">
                  <c:v>102473.75</c:v>
                </c:pt>
                <c:pt idx="107">
                  <c:v>93170.75</c:v>
                </c:pt>
                <c:pt idx="108">
                  <c:v>78621</c:v>
                </c:pt>
                <c:pt idx="109">
                  <c:v>90439.75</c:v>
                </c:pt>
                <c:pt idx="110">
                  <c:v>92814</c:v>
                </c:pt>
                <c:pt idx="111">
                  <c:v>91648.5</c:v>
                </c:pt>
                <c:pt idx="112">
                  <c:v>110501.5</c:v>
                </c:pt>
                <c:pt idx="113">
                  <c:v>112095.5</c:v>
                </c:pt>
                <c:pt idx="114">
                  <c:v>105185.5</c:v>
                </c:pt>
                <c:pt idx="115">
                  <c:v>109074</c:v>
                </c:pt>
                <c:pt idx="116">
                  <c:v>85244</c:v>
                </c:pt>
                <c:pt idx="117">
                  <c:v>86740.5</c:v>
                </c:pt>
                <c:pt idx="118">
                  <c:v>98168.75</c:v>
                </c:pt>
                <c:pt idx="119">
                  <c:v>96682.25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D-4034-AC6B-B17B4AD7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031535"/>
        <c:axId val="235032015"/>
      </c:lineChart>
      <c:catAx>
        <c:axId val="23503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5032015"/>
        <c:crosses val="autoZero"/>
        <c:auto val="1"/>
        <c:lblAlgn val="ctr"/>
        <c:lblOffset val="100"/>
        <c:tickLblSkip val="6"/>
        <c:noMultiLvlLbl val="0"/>
      </c:catAx>
      <c:valAx>
        <c:axId val="2350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</a:t>
                </a:r>
                <a:r>
                  <a:rPr lang="en-US" baseline="0"/>
                  <a:t> ($)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503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[advanced_statistics_mini_project_dataset_with_instructions.xlsx]Yearly Trend Sheet!PivotTable24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Year-over-Year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Trend Sheet'!$B$3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71379054717397E-3"/>
                  <c:y val="0.12097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cat>
            <c:strRef>
              <c:f>'Yearly Trend Sheet'!$A$4:$A$14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'Yearly Trend Sheet'!$B$4:$B$14</c:f>
              <c:numCache>
                <c:formatCode>_(* #,##0.00_);_(* \(#,##0.00\);_(* "-"??_);_(@_)</c:formatCode>
                <c:ptCount val="10"/>
                <c:pt idx="0">
                  <c:v>110983.25</c:v>
                </c:pt>
                <c:pt idx="1">
                  <c:v>107923.16666666667</c:v>
                </c:pt>
                <c:pt idx="2">
                  <c:v>98397.75</c:v>
                </c:pt>
                <c:pt idx="3">
                  <c:v>85347.583333333328</c:v>
                </c:pt>
                <c:pt idx="4">
                  <c:v>107448.83333333333</c:v>
                </c:pt>
                <c:pt idx="5">
                  <c:v>109663.41666666667</c:v>
                </c:pt>
                <c:pt idx="6">
                  <c:v>104574.41666666667</c:v>
                </c:pt>
                <c:pt idx="7">
                  <c:v>107101.41666666667</c:v>
                </c:pt>
                <c:pt idx="8">
                  <c:v>99986</c:v>
                </c:pt>
                <c:pt idx="9">
                  <c:v>99134.916666666672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4-42BA-A54D-5611F288F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83103"/>
        <c:axId val="151272063"/>
      </c:lineChart>
      <c:catAx>
        <c:axId val="1512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72063"/>
        <c:crosses val="autoZero"/>
        <c:auto val="1"/>
        <c:lblAlgn val="ctr"/>
        <c:lblOffset val="100"/>
        <c:noMultiLvlLbl val="0"/>
      </c:catAx>
      <c:valAx>
        <c:axId val="1512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28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[advanced_statistics_mini_project_dataset_with_instructions.xlsx]Quarterly Revenue Seasonality!PivotTable21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7542754386531042E-1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771377193265521E-17"/>
              <c:y val="-0.18055555555555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1387319522912741E-3"/>
              <c:y val="-0.2222222222222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1387319522912741E-3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'Quarterly Revenue Seasonality'!$B$3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771377193265521E-17"/>
                  <c:y val="-0.180555555555555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31-4CEB-801E-6AB347AF0E9A}"/>
                </c:ext>
              </c:extLst>
            </c:dLbl>
            <c:dLbl>
              <c:idx val="1"/>
              <c:layout>
                <c:manualLayout>
                  <c:x val="-5.7542754386531042E-17"/>
                  <c:y val="-0.231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1-4CEB-801E-6AB347AF0E9A}"/>
                </c:ext>
              </c:extLst>
            </c:dLbl>
            <c:dLbl>
              <c:idx val="2"/>
              <c:layout>
                <c:manualLayout>
                  <c:x val="3.1387319522912741E-3"/>
                  <c:y val="-0.2222222222222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31-4CEB-801E-6AB347AF0E9A}"/>
                </c:ext>
              </c:extLst>
            </c:dLbl>
            <c:dLbl>
              <c:idx val="3"/>
              <c:layout>
                <c:manualLayout>
                  <c:x val="-3.1387319522912741E-3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31-4CEB-801E-6AB347AF0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Revenue Seasonality'!$A$4:$A$8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Revenue Seasonality'!$B$4:$B$8</c:f>
              <c:numCache>
                <c:formatCode>_(* #,##0.00_);_(* \(#,##0.00\);_(* "-"??_);_(@_)</c:formatCode>
                <c:ptCount val="4"/>
                <c:pt idx="0">
                  <c:v>102395.26666666666</c:v>
                </c:pt>
                <c:pt idx="1">
                  <c:v>108133.2</c:v>
                </c:pt>
                <c:pt idx="2">
                  <c:v>106151.56666666667</c:v>
                </c:pt>
                <c:pt idx="3">
                  <c:v>95544.266666666663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1-4CEB-801E-6AB347AF0E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0228191"/>
        <c:axId val="1450227231"/>
      </c:barChart>
      <c:catAx>
        <c:axId val="145022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0227231"/>
        <c:crosses val="autoZero"/>
        <c:auto val="1"/>
        <c:lblAlgn val="ctr"/>
        <c:lblOffset val="100"/>
        <c:noMultiLvlLbl val="0"/>
      </c:catAx>
      <c:valAx>
        <c:axId val="14502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Revenue ($)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022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300</xdr:row>
      <xdr:rowOff>34290</xdr:rowOff>
    </xdr:from>
    <xdr:to>
      <xdr:col>4</xdr:col>
      <xdr:colOff>533400</xdr:colOff>
      <xdr:row>315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FF74F-6961-E18B-5681-8D039E43A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319</xdr:row>
      <xdr:rowOff>118110</xdr:rowOff>
    </xdr:from>
    <xdr:to>
      <xdr:col>4</xdr:col>
      <xdr:colOff>510540</xdr:colOff>
      <xdr:row>334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45428-FCAD-D6D5-DE2E-382DCD3A3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338</xdr:row>
      <xdr:rowOff>133350</xdr:rowOff>
    </xdr:from>
    <xdr:to>
      <xdr:col>4</xdr:col>
      <xdr:colOff>510540</xdr:colOff>
      <xdr:row>353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E172B0-2E0E-CFF3-EE5B-1E703AF25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385</xdr:row>
      <xdr:rowOff>11430</xdr:rowOff>
    </xdr:from>
    <xdr:to>
      <xdr:col>8</xdr:col>
      <xdr:colOff>632460</xdr:colOff>
      <xdr:row>403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7C5B7E-AE15-EA21-6624-397A69A09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406</xdr:row>
      <xdr:rowOff>34290</xdr:rowOff>
    </xdr:from>
    <xdr:to>
      <xdr:col>8</xdr:col>
      <xdr:colOff>609600</xdr:colOff>
      <xdr:row>429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1CE513-DD52-289E-79A7-2FE6DC46D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179070</xdr:rowOff>
    </xdr:from>
    <xdr:to>
      <xdr:col>7</xdr:col>
      <xdr:colOff>0</xdr:colOff>
      <xdr:row>30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75F44-60F4-9A11-7512-82AAA11E3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64770</xdr:rowOff>
    </xdr:from>
    <xdr:to>
      <xdr:col>3</xdr:col>
      <xdr:colOff>342900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491F5-092C-1AA4-7CB9-166A043E6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motoye" refreshedDate="46165.800516898147" createdVersion="8" refreshedVersion="8" minRefreshableVersion="3" recordCount="120" xr:uid="{1AE0ADCF-D5C6-4ED1-961D-3318C91FD518}">
  <cacheSource type="worksheet">
    <worksheetSource name="Table1"/>
  </cacheSource>
  <cacheFields count="14">
    <cacheField name="Employee_ID" numFmtId="0">
      <sharedItems/>
    </cacheField>
    <cacheField name="Department" numFmtId="0">
      <sharedItems count="4">
        <s v="Operations"/>
        <s v="Marketing"/>
        <s v="Sales"/>
        <s v="Finance"/>
      </sharedItems>
    </cacheField>
    <cacheField name="Region" numFmtId="0">
      <sharedItems/>
    </cacheField>
    <cacheField name="Gender" numFmtId="0">
      <sharedItems/>
    </cacheField>
    <cacheField name="Training_Group" numFmtId="0">
      <sharedItems/>
    </cacheField>
    <cacheField name="Month_No" numFmtId="0">
      <sharedItems containsSemiMixedTypes="0" containsString="0" containsNumber="1" containsInteger="1" minValue="1" maxValue="12"/>
    </cacheField>
    <cacheField name="Marketing_Spend" numFmtId="44">
      <sharedItems containsSemiMixedTypes="0" containsString="0" containsNumber="1" containsInteger="1" minValue="5874" maxValue="29266"/>
    </cacheField>
    <cacheField name="Website_Traffic" numFmtId="0">
      <sharedItems containsSemiMixedTypes="0" containsString="0" containsNumber="1" containsInteger="1" minValue="22131" maxValue="96538"/>
    </cacheField>
    <cacheField name="Sales_Calls" numFmtId="0">
      <sharedItems containsSemiMixedTypes="0" containsString="0" containsNumber="1" containsInteger="1" minValue="40" maxValue="180"/>
    </cacheField>
    <cacheField name="Sales_Revenue" numFmtId="44">
      <sharedItems containsSemiMixedTypes="0" containsString="0" containsNumber="1" containsInteger="1" minValue="34438" maxValue="176417"/>
    </cacheField>
    <cacheField name="Customer_Orders" numFmtId="0">
      <sharedItems containsSemiMixedTypes="0" containsString="0" containsNumber="1" containsInteger="1" minValue="31" maxValue="112"/>
    </cacheField>
    <cacheField name="Employee_Satisfaction" numFmtId="0">
      <sharedItems containsSemiMixedTypes="0" containsString="0" containsNumber="1" containsInteger="1" minValue="55" maxValue="100"/>
    </cacheField>
    <cacheField name="Attrition" numFmtId="0">
      <sharedItems/>
    </cacheField>
    <cacheField name="Project_Status" numFmtId="0">
      <sharedItems count="2">
        <s v="Delayed"/>
        <s v="Comple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motoye" refreshedDate="46166.398170138891" backgroundQuery="1" createdVersion="8" refreshedVersion="8" minRefreshableVersion="3" recordCount="0" supportSubquery="1" supportAdvancedDrill="1" xr:uid="{E3A991BC-FAB3-431B-B6B9-412A3C2956D9}">
  <cacheSource type="external" connectionId="1"/>
  <cacheFields count="2">
    <cacheField name="[Table1].[Quarter].[Quarter]" caption="Quarter" numFmtId="0" hierarchy="9" level="1">
      <sharedItems count="4">
        <s v="Q1"/>
        <s v="Q2"/>
        <s v="Q3"/>
        <s v="Q4"/>
      </sharedItems>
    </cacheField>
    <cacheField name="[Measures].[Average of Sales_Revenue]" caption="Average of Sales_Revenue" numFmtId="0" hierarchy="24" level="32767"/>
  </cacheFields>
  <cacheHierarchies count="27"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Training_Group]" caption="Training_Group" attribute="1" defaultMemberUniqueName="[Table1].[Training_Group].[All]" allUniqueName="[Table1].[Training_Group].[All]" dimensionUniqueName="[Table1]" displayFolder="" count="0" memberValueDatatype="130" unbalanced="0"/>
    <cacheHierarchy uniqueName="[Table1].[Month_No]" caption="Month_No" attribute="1" defaultMemberUniqueName="[Table1].[Month_No].[All]" allUniqueName="[Table1].[Month_No].[All]" dimensionUniqueName="[Table1]" displayFolder="" count="0" memberValueDatatype="20" unbalanced="0"/>
    <cacheHierarchy uniqueName="[Table1].[Month_Flag]" caption="Month_Flag" attribute="1" defaultMemberUniqueName="[Table1].[Month_Flag].[All]" allUniqueName="[Table1].[Month_Flag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_Year]" caption="Month_Year" attribute="1" defaultMemberUniqueName="[Table1].[Month_Year].[All]" allUniqueName="[Table1].[Month_Year].[All]" dimensionUniqueName="[Table1]" displayFolder="" count="0" memberValueDatatype="130" unbalanced="0"/>
    <cacheHierarchy uniqueName="[Table1].[Quarter]" caption="Quarter" attribute="1" defaultMemberUniqueName="[Table1].[Quarter].[All]" allUniqueName="[Table1].[Quart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arketing_Spend]" caption="Marketing_Spend" attribute="1" defaultMemberUniqueName="[Table1].[Marketing_Spend].[All]" allUniqueName="[Table1].[Marketing_Spend].[All]" dimensionUniqueName="[Table1]" displayFolder="" count="0" memberValueDatatype="20" unbalanced="0"/>
    <cacheHierarchy uniqueName="[Table1].[Website_Traffic]" caption="Website_Traffic" attribute="1" defaultMemberUniqueName="[Table1].[Website_Traffic].[All]" allUniqueName="[Table1].[Website_Traffic].[All]" dimensionUniqueName="[Table1]" displayFolder="" count="0" memberValueDatatype="20" unbalanced="0"/>
    <cacheHierarchy uniqueName="[Table1].[Sales_Calls]" caption="Sales_Calls" attribute="1" defaultMemberUniqueName="[Table1].[Sales_Calls].[All]" allUniqueName="[Table1].[Sales_Calls].[All]" dimensionUniqueName="[Table1]" displayFolder="" count="0" memberValueDatatype="20" unbalanced="0"/>
    <cacheHierarchy uniqueName="[Table1].[Sales_Revenue]" caption="Sales_Revenue" attribute="1" defaultMemberUniqueName="[Table1].[Sales_Revenue].[All]" allUniqueName="[Table1].[Sales_Revenue].[All]" dimensionUniqueName="[Table1]" displayFolder="" count="0" memberValueDatatype="20" unbalanced="0"/>
    <cacheHierarchy uniqueName="[Table1].[3-Month Moving Average]" caption="3-Month Moving Average" attribute="1" defaultMemberUniqueName="[Table1].[3-Month Moving Average].[All]" allUniqueName="[Table1].[3-Month Moving Average].[All]" dimensionUniqueName="[Table1]" displayFolder="" count="0" memberValueDatatype="5" unbalanced="0"/>
    <cacheHierarchy uniqueName="[Table1].[4-Month Moving Average]" caption="4-Month Moving Average" attribute="1" defaultMemberUniqueName="[Table1].[4-Month Moving Average].[All]" allUniqueName="[Table1].[4-Month Moving Average].[All]" dimensionUniqueName="[Table1]" displayFolder="" count="0" memberValueDatatype="5" unbalanced="0"/>
    <cacheHierarchy uniqueName="[Table1].[Customer_Orders]" caption="Customer_Orders" attribute="1" defaultMemberUniqueName="[Table1].[Customer_Orders].[All]" allUniqueName="[Table1].[Customer_Orders].[All]" dimensionUniqueName="[Table1]" displayFolder="" count="0" memberValueDatatype="20" unbalanced="0"/>
    <cacheHierarchy uniqueName="[Table1].[Employee_Satisfaction]" caption="Employee_Satisfaction" attribute="1" defaultMemberUniqueName="[Table1].[Employee_Satisfaction].[All]" allUniqueName="[Table1].[Employee_Satisfaction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Project_Status]" caption="Project_Status" attribute="1" defaultMemberUniqueName="[Table1].[Project_Status].[All]" allUniqueName="[Table1].[Project_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Revenue]" caption="Sum of Sales_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Orders]" caption="Sum of Customer_Orders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es_Revenue]" caption="Average of Sales_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Customer_Orders]" caption="Average of Customer_Orders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motoye" refreshedDate="46166.41144733796" backgroundQuery="1" createdVersion="8" refreshedVersion="8" minRefreshableVersion="3" recordCount="0" supportSubquery="1" supportAdvancedDrill="1" xr:uid="{374BF3D8-1172-4EB2-875D-0E0CF976D840}">
  <cacheSource type="external" connectionId="1"/>
  <cacheFields count="2">
    <cacheField name="[Table1].[Year].[Year]" caption="Year" numFmtId="0" hierarchy="7" level="1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16]"/>
            <x15:cachedUniqueName index="1" name="[Table1].[Year].&amp;[2017]"/>
            <x15:cachedUniqueName index="2" name="[Table1].[Year].&amp;[2018]"/>
            <x15:cachedUniqueName index="3" name="[Table1].[Year].&amp;[2019]"/>
            <x15:cachedUniqueName index="4" name="[Table1].[Year].&amp;[2020]"/>
            <x15:cachedUniqueName index="5" name="[Table1].[Year].&amp;[2021]"/>
            <x15:cachedUniqueName index="6" name="[Table1].[Year].&amp;[2022]"/>
            <x15:cachedUniqueName index="7" name="[Table1].[Year].&amp;[2023]"/>
            <x15:cachedUniqueName index="8" name="[Table1].[Year].&amp;[2024]"/>
            <x15:cachedUniqueName index="9" name="[Table1].[Year].&amp;[2025]"/>
          </x15:cachedUniqueNames>
        </ext>
      </extLst>
    </cacheField>
    <cacheField name="[Measures].[Average of Sales_Revenue]" caption="Average of Sales_Revenue" numFmtId="0" hierarchy="24" level="32767"/>
  </cacheFields>
  <cacheHierarchies count="27"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Training_Group]" caption="Training_Group" attribute="1" defaultMemberUniqueName="[Table1].[Training_Group].[All]" allUniqueName="[Table1].[Training_Group].[All]" dimensionUniqueName="[Table1]" displayFolder="" count="0" memberValueDatatype="130" unbalanced="0"/>
    <cacheHierarchy uniqueName="[Table1].[Month_No]" caption="Month_No" attribute="1" defaultMemberUniqueName="[Table1].[Month_No].[All]" allUniqueName="[Table1].[Month_No].[All]" dimensionUniqueName="[Table1]" displayFolder="" count="0" memberValueDatatype="20" unbalanced="0"/>
    <cacheHierarchy uniqueName="[Table1].[Month_Flag]" caption="Month_Flag" attribute="1" defaultMemberUniqueName="[Table1].[Month_Flag].[All]" allUniqueName="[Table1].[Month_Flag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Month_Year]" caption="Month_Year" attribute="1" defaultMemberUniqueName="[Table1].[Month_Year].[All]" allUniqueName="[Table1].[Month_Year].[All]" dimensionUniqueName="[Table1]" displayFolder="" count="0" memberValueDatatype="130" unbalanced="0"/>
    <cacheHierarchy uniqueName="[Table1].[Quarter]" caption="Quarter" attribute="1" defaultMemberUniqueName="[Table1].[Quarter].[All]" allUniqueName="[Table1].[Quarter].[All]" dimensionUniqueName="[Table1]" displayFolder="" count="0" memberValueDatatype="130" unbalanced="0"/>
    <cacheHierarchy uniqueName="[Table1].[Marketing_Spend]" caption="Marketing_Spend" attribute="1" defaultMemberUniqueName="[Table1].[Marketing_Spend].[All]" allUniqueName="[Table1].[Marketing_Spend].[All]" dimensionUniqueName="[Table1]" displayFolder="" count="0" memberValueDatatype="20" unbalanced="0"/>
    <cacheHierarchy uniqueName="[Table1].[Website_Traffic]" caption="Website_Traffic" attribute="1" defaultMemberUniqueName="[Table1].[Website_Traffic].[All]" allUniqueName="[Table1].[Website_Traffic].[All]" dimensionUniqueName="[Table1]" displayFolder="" count="0" memberValueDatatype="20" unbalanced="0"/>
    <cacheHierarchy uniqueName="[Table1].[Sales_Calls]" caption="Sales_Calls" attribute="1" defaultMemberUniqueName="[Table1].[Sales_Calls].[All]" allUniqueName="[Table1].[Sales_Calls].[All]" dimensionUniqueName="[Table1]" displayFolder="" count="0" memberValueDatatype="20" unbalanced="0"/>
    <cacheHierarchy uniqueName="[Table1].[Sales_Revenue]" caption="Sales_Revenue" attribute="1" defaultMemberUniqueName="[Table1].[Sales_Revenue].[All]" allUniqueName="[Table1].[Sales_Revenue].[All]" dimensionUniqueName="[Table1]" displayFolder="" count="0" memberValueDatatype="20" unbalanced="0"/>
    <cacheHierarchy uniqueName="[Table1].[3-Month Moving Average]" caption="3-Month Moving Average" attribute="1" defaultMemberUniqueName="[Table1].[3-Month Moving Average].[All]" allUniqueName="[Table1].[3-Month Moving Average].[All]" dimensionUniqueName="[Table1]" displayFolder="" count="0" memberValueDatatype="5" unbalanced="0"/>
    <cacheHierarchy uniqueName="[Table1].[4-Month Moving Average]" caption="4-Month Moving Average" attribute="1" defaultMemberUniqueName="[Table1].[4-Month Moving Average].[All]" allUniqueName="[Table1].[4-Month Moving Average].[All]" dimensionUniqueName="[Table1]" displayFolder="" count="0" memberValueDatatype="5" unbalanced="0"/>
    <cacheHierarchy uniqueName="[Table1].[Customer_Orders]" caption="Customer_Orders" attribute="1" defaultMemberUniqueName="[Table1].[Customer_Orders].[All]" allUniqueName="[Table1].[Customer_Orders].[All]" dimensionUniqueName="[Table1]" displayFolder="" count="0" memberValueDatatype="20" unbalanced="0"/>
    <cacheHierarchy uniqueName="[Table1].[Employee_Satisfaction]" caption="Employee_Satisfaction" attribute="1" defaultMemberUniqueName="[Table1].[Employee_Satisfaction].[All]" allUniqueName="[Table1].[Employee_Satisfaction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Project_Status]" caption="Project_Status" attribute="1" defaultMemberUniqueName="[Table1].[Project_Status].[All]" allUniqueName="[Table1].[Project_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Revenue]" caption="Sum of Sales_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Orders]" caption="Sum of Customer_Orders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es_Revenue]" caption="Average of Sales_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Customer_Orders]" caption="Average of Customer_Orders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EMP-1001"/>
    <x v="0"/>
    <s v="Abuja"/>
    <s v="Male"/>
    <s v="Control"/>
    <n v="1"/>
    <n v="17852"/>
    <n v="61121"/>
    <n v="172"/>
    <n v="105211"/>
    <n v="66"/>
    <n v="90"/>
    <s v="No"/>
    <x v="0"/>
  </r>
  <r>
    <s v="EMP-1002"/>
    <x v="0"/>
    <s v="Abuja"/>
    <s v="Male"/>
    <s v="Control"/>
    <n v="2"/>
    <n v="11631"/>
    <n v="43835"/>
    <n v="90"/>
    <n v="74908"/>
    <n v="52"/>
    <n v="82"/>
    <s v="No"/>
    <x v="1"/>
  </r>
  <r>
    <s v="EMP-1003"/>
    <x v="1"/>
    <s v="Lagos"/>
    <s v="Male"/>
    <s v="Control"/>
    <n v="3"/>
    <n v="21438"/>
    <n v="70512"/>
    <n v="147"/>
    <n v="138323"/>
    <n v="90"/>
    <n v="77"/>
    <s v="No"/>
    <x v="0"/>
  </r>
  <r>
    <s v="EMP-1004"/>
    <x v="1"/>
    <s v="Abuja"/>
    <s v="Female"/>
    <s v="Trained"/>
    <n v="4"/>
    <n v="27368"/>
    <n v="89221"/>
    <n v="110"/>
    <n v="153419"/>
    <n v="104"/>
    <n v="66"/>
    <s v="Yes"/>
    <x v="1"/>
  </r>
  <r>
    <s v="EMP-1005"/>
    <x v="2"/>
    <s v="Abuja"/>
    <s v="Male"/>
    <s v="Trained"/>
    <n v="5"/>
    <n v="20764"/>
    <n v="67665"/>
    <n v="82"/>
    <n v="108379"/>
    <n v="77"/>
    <n v="97"/>
    <s v="No"/>
    <x v="1"/>
  </r>
  <r>
    <s v="EMP-1006"/>
    <x v="3"/>
    <s v="Port Harcourt"/>
    <s v="Male"/>
    <s v="Control"/>
    <n v="6"/>
    <n v="27166"/>
    <n v="92366"/>
    <n v="41"/>
    <n v="150281"/>
    <n v="92"/>
    <n v="98"/>
    <s v="No"/>
    <x v="1"/>
  </r>
  <r>
    <s v="EMP-1007"/>
    <x v="0"/>
    <s v="Lagos"/>
    <s v="Male"/>
    <s v="Trained"/>
    <n v="7"/>
    <n v="12700"/>
    <n v="50059"/>
    <n v="123"/>
    <n v="80365"/>
    <n v="60"/>
    <n v="99"/>
    <s v="No"/>
    <x v="0"/>
  </r>
  <r>
    <s v="EMP-1008"/>
    <x v="3"/>
    <s v="Abuja"/>
    <s v="Female"/>
    <s v="Control"/>
    <n v="8"/>
    <n v="15694"/>
    <n v="50102"/>
    <n v="151"/>
    <n v="103471"/>
    <n v="75"/>
    <n v="72"/>
    <s v="No"/>
    <x v="0"/>
  </r>
  <r>
    <s v="EMP-1009"/>
    <x v="3"/>
    <s v="Ibadan"/>
    <s v="Male"/>
    <s v="Control"/>
    <n v="9"/>
    <n v="19444"/>
    <n v="70233"/>
    <n v="150"/>
    <n v="127323"/>
    <n v="85"/>
    <n v="72"/>
    <s v="No"/>
    <x v="0"/>
  </r>
  <r>
    <s v="EMP-1010"/>
    <x v="1"/>
    <s v="Ibadan"/>
    <s v="Female"/>
    <s v="Control"/>
    <n v="10"/>
    <n v="18349"/>
    <n v="65925"/>
    <n v="89"/>
    <n v="108347"/>
    <n v="71"/>
    <n v="75"/>
    <s v="No"/>
    <x v="1"/>
  </r>
  <r>
    <s v="EMP-1011"/>
    <x v="3"/>
    <s v="Ibadan"/>
    <s v="Male"/>
    <s v="Control"/>
    <n v="11"/>
    <n v="5874"/>
    <n v="28593"/>
    <n v="89"/>
    <n v="62422"/>
    <n v="48"/>
    <n v="94"/>
    <s v="No"/>
    <x v="0"/>
  </r>
  <r>
    <s v="EMP-1012"/>
    <x v="0"/>
    <s v="Lagos"/>
    <s v="Female"/>
    <s v="Control"/>
    <n v="12"/>
    <n v="20102"/>
    <n v="68826"/>
    <n v="104"/>
    <n v="119350"/>
    <n v="76"/>
    <n v="72"/>
    <s v="No"/>
    <x v="1"/>
  </r>
  <r>
    <s v="EMP-1013"/>
    <x v="2"/>
    <s v="Ibadan"/>
    <s v="Female"/>
    <s v="Trained"/>
    <n v="1"/>
    <n v="12058"/>
    <n v="43439"/>
    <n v="69"/>
    <n v="85353"/>
    <n v="65"/>
    <n v="69"/>
    <s v="Yes"/>
    <x v="1"/>
  </r>
  <r>
    <s v="EMP-1014"/>
    <x v="3"/>
    <s v="Port Harcourt"/>
    <s v="Male"/>
    <s v="Trained"/>
    <n v="2"/>
    <n v="24890"/>
    <n v="82117"/>
    <n v="91"/>
    <n v="145118"/>
    <n v="87"/>
    <n v="86"/>
    <s v="No"/>
    <x v="0"/>
  </r>
  <r>
    <s v="EMP-1015"/>
    <x v="2"/>
    <s v="Lagos"/>
    <s v="Male"/>
    <s v="Trained"/>
    <n v="3"/>
    <n v="16782"/>
    <n v="61417"/>
    <n v="138"/>
    <n v="93248"/>
    <n v="63"/>
    <n v="82"/>
    <s v="No"/>
    <x v="1"/>
  </r>
  <r>
    <s v="EMP-1016"/>
    <x v="3"/>
    <s v="Ibadan"/>
    <s v="Female"/>
    <s v="Trained"/>
    <n v="4"/>
    <n v="17029"/>
    <n v="53986"/>
    <n v="140"/>
    <n v="99669"/>
    <n v="74"/>
    <n v="100"/>
    <s v="No"/>
    <x v="0"/>
  </r>
  <r>
    <s v="EMP-1017"/>
    <x v="2"/>
    <s v="Port Harcourt"/>
    <s v="Female"/>
    <s v="Trained"/>
    <n v="5"/>
    <n v="21851"/>
    <n v="77081"/>
    <n v="150"/>
    <n v="144689"/>
    <n v="95"/>
    <n v="89"/>
    <s v="No"/>
    <x v="0"/>
  </r>
  <r>
    <s v="EMP-1018"/>
    <x v="1"/>
    <s v="Port Harcourt"/>
    <s v="Male"/>
    <s v="Trained"/>
    <n v="6"/>
    <n v="9617"/>
    <n v="33337"/>
    <n v="125"/>
    <n v="63367"/>
    <n v="52"/>
    <n v="88"/>
    <s v="No"/>
    <x v="0"/>
  </r>
  <r>
    <s v="EMP-1019"/>
    <x v="2"/>
    <s v="Abuja"/>
    <s v="Female"/>
    <s v="Trained"/>
    <n v="7"/>
    <n v="25214"/>
    <n v="78527"/>
    <n v="138"/>
    <n v="153371"/>
    <n v="93"/>
    <n v="85"/>
    <s v="No"/>
    <x v="1"/>
  </r>
  <r>
    <s v="EMP-1020"/>
    <x v="1"/>
    <s v="Abuja"/>
    <s v="Female"/>
    <s v="Control"/>
    <n v="8"/>
    <n v="25299"/>
    <n v="81388"/>
    <n v="46"/>
    <n v="145224"/>
    <n v="86"/>
    <n v="91"/>
    <s v="No"/>
    <x v="1"/>
  </r>
  <r>
    <s v="EMP-1021"/>
    <x v="0"/>
    <s v="Port Harcourt"/>
    <s v="Male"/>
    <s v="Control"/>
    <n v="9"/>
    <n v="9290"/>
    <n v="36689"/>
    <n v="55"/>
    <n v="49617"/>
    <n v="38"/>
    <n v="88"/>
    <s v="No"/>
    <x v="1"/>
  </r>
  <r>
    <s v="EMP-1022"/>
    <x v="1"/>
    <s v="Abuja"/>
    <s v="Male"/>
    <s v="Trained"/>
    <n v="10"/>
    <n v="27512"/>
    <n v="86111"/>
    <n v="75"/>
    <n v="132277"/>
    <n v="89"/>
    <n v="76"/>
    <s v="No"/>
    <x v="1"/>
  </r>
  <r>
    <s v="EMP-1023"/>
    <x v="2"/>
    <s v="Ibadan"/>
    <s v="Female"/>
    <s v="Trained"/>
    <n v="11"/>
    <n v="24197"/>
    <n v="82687"/>
    <n v="94"/>
    <n v="148707"/>
    <n v="98"/>
    <n v="97"/>
    <s v="No"/>
    <x v="1"/>
  </r>
  <r>
    <s v="EMP-1024"/>
    <x v="1"/>
    <s v="Lagos"/>
    <s v="Male"/>
    <s v="Trained"/>
    <n v="12"/>
    <n v="6264"/>
    <n v="25845"/>
    <n v="101"/>
    <n v="34438"/>
    <n v="36"/>
    <n v="78"/>
    <s v="No"/>
    <x v="0"/>
  </r>
  <r>
    <s v="EMP-1025"/>
    <x v="0"/>
    <s v="Ibadan"/>
    <s v="Male"/>
    <s v="Trained"/>
    <n v="1"/>
    <n v="6194"/>
    <n v="26320"/>
    <n v="138"/>
    <n v="67595"/>
    <n v="55"/>
    <n v="95"/>
    <s v="No"/>
    <x v="1"/>
  </r>
  <r>
    <s v="EMP-1026"/>
    <x v="0"/>
    <s v="Port Harcourt"/>
    <s v="Female"/>
    <s v="Control"/>
    <n v="2"/>
    <n v="9038"/>
    <n v="39113"/>
    <n v="116"/>
    <n v="53764"/>
    <n v="35"/>
    <n v="100"/>
    <s v="No"/>
    <x v="0"/>
  </r>
  <r>
    <s v="EMP-1027"/>
    <x v="0"/>
    <s v="Port Harcourt"/>
    <s v="Female"/>
    <s v="Trained"/>
    <n v="3"/>
    <n v="28215"/>
    <n v="89290"/>
    <n v="105"/>
    <n v="144548"/>
    <n v="85"/>
    <n v="62"/>
    <s v="Yes"/>
    <x v="1"/>
  </r>
  <r>
    <s v="EMP-1028"/>
    <x v="3"/>
    <s v="Ibadan"/>
    <s v="Male"/>
    <s v="Control"/>
    <n v="4"/>
    <n v="6824"/>
    <n v="26703"/>
    <n v="96"/>
    <n v="59841"/>
    <n v="47"/>
    <n v="74"/>
    <s v="No"/>
    <x v="1"/>
  </r>
  <r>
    <s v="EMP-1029"/>
    <x v="0"/>
    <s v="Port Harcourt"/>
    <s v="Female"/>
    <s v="Trained"/>
    <n v="5"/>
    <n v="16146"/>
    <n v="57805"/>
    <n v="89"/>
    <n v="83919"/>
    <n v="59"/>
    <n v="97"/>
    <s v="No"/>
    <x v="1"/>
  </r>
  <r>
    <s v="EMP-1030"/>
    <x v="1"/>
    <s v="Port Harcourt"/>
    <s v="Male"/>
    <s v="Trained"/>
    <n v="6"/>
    <n v="12067"/>
    <n v="41288"/>
    <n v="180"/>
    <n v="80935"/>
    <n v="63"/>
    <n v="74"/>
    <s v="No"/>
    <x v="1"/>
  </r>
  <r>
    <s v="EMP-1031"/>
    <x v="0"/>
    <s v="Lagos"/>
    <s v="Female"/>
    <s v="Control"/>
    <n v="7"/>
    <n v="24869"/>
    <n v="86437"/>
    <n v="94"/>
    <n v="134309"/>
    <n v="90"/>
    <n v="81"/>
    <s v="No"/>
    <x v="0"/>
  </r>
  <r>
    <s v="EMP-1032"/>
    <x v="2"/>
    <s v="Port Harcourt"/>
    <s v="Female"/>
    <s v="Trained"/>
    <n v="8"/>
    <n v="24770"/>
    <n v="81015"/>
    <n v="51"/>
    <n v="141157"/>
    <n v="87"/>
    <n v="98"/>
    <s v="No"/>
    <x v="1"/>
  </r>
  <r>
    <s v="EMP-1033"/>
    <x v="1"/>
    <s v="Abuja"/>
    <s v="Female"/>
    <s v="Control"/>
    <n v="9"/>
    <n v="13358"/>
    <n v="44414"/>
    <n v="57"/>
    <n v="76444"/>
    <n v="51"/>
    <n v="90"/>
    <s v="No"/>
    <x v="1"/>
  </r>
  <r>
    <s v="EMP-1034"/>
    <x v="2"/>
    <s v="Lagos"/>
    <s v="Female"/>
    <s v="Control"/>
    <n v="10"/>
    <n v="26606"/>
    <n v="84212"/>
    <n v="61"/>
    <n v="140648"/>
    <n v="88"/>
    <n v="90"/>
    <s v="No"/>
    <x v="1"/>
  </r>
  <r>
    <s v="EMP-1035"/>
    <x v="1"/>
    <s v="Lagos"/>
    <s v="Female"/>
    <s v="Trained"/>
    <n v="11"/>
    <n v="22992"/>
    <n v="78026"/>
    <n v="94"/>
    <n v="117502"/>
    <n v="72"/>
    <n v="99"/>
    <s v="No"/>
    <x v="1"/>
  </r>
  <r>
    <s v="EMP-1036"/>
    <x v="1"/>
    <s v="Port Harcourt"/>
    <s v="Female"/>
    <s v="Trained"/>
    <n v="12"/>
    <n v="13516"/>
    <n v="52347"/>
    <n v="110"/>
    <n v="80111"/>
    <n v="51"/>
    <n v="71"/>
    <s v="No"/>
    <x v="1"/>
  </r>
  <r>
    <s v="EMP-1037"/>
    <x v="1"/>
    <s v="Ibadan"/>
    <s v="Male"/>
    <s v="Trained"/>
    <n v="1"/>
    <n v="24537"/>
    <n v="76285"/>
    <n v="43"/>
    <n v="126278"/>
    <n v="81"/>
    <n v="94"/>
    <s v="No"/>
    <x v="0"/>
  </r>
  <r>
    <s v="EMP-1038"/>
    <x v="3"/>
    <s v="Port Harcourt"/>
    <s v="Female"/>
    <s v="Control"/>
    <n v="2"/>
    <n v="25356"/>
    <n v="80789"/>
    <n v="133"/>
    <n v="134796"/>
    <n v="89"/>
    <n v="98"/>
    <s v="No"/>
    <x v="1"/>
  </r>
  <r>
    <s v="EMP-1039"/>
    <x v="2"/>
    <s v="Ibadan"/>
    <s v="Male"/>
    <s v="Control"/>
    <n v="3"/>
    <n v="7371"/>
    <n v="29356"/>
    <n v="57"/>
    <n v="46911"/>
    <n v="36"/>
    <n v="94"/>
    <s v="No"/>
    <x v="0"/>
  </r>
  <r>
    <s v="EMP-1040"/>
    <x v="0"/>
    <s v="Lagos"/>
    <s v="Male"/>
    <s v="Trained"/>
    <n v="4"/>
    <n v="17075"/>
    <n v="58188"/>
    <n v="179"/>
    <n v="97429"/>
    <n v="62"/>
    <n v="60"/>
    <s v="Yes"/>
    <x v="0"/>
  </r>
  <r>
    <s v="EMP-1041"/>
    <x v="3"/>
    <s v="Port Harcourt"/>
    <s v="Female"/>
    <s v="Control"/>
    <n v="5"/>
    <n v="23484"/>
    <n v="80314"/>
    <n v="44"/>
    <n v="117269"/>
    <n v="70"/>
    <n v="62"/>
    <s v="Yes"/>
    <x v="0"/>
  </r>
  <r>
    <s v="EMP-1042"/>
    <x v="0"/>
    <s v="Abuja"/>
    <s v="Male"/>
    <s v="Control"/>
    <n v="6"/>
    <n v="12595"/>
    <n v="44938"/>
    <n v="147"/>
    <n v="73609"/>
    <n v="49"/>
    <n v="70"/>
    <s v="No"/>
    <x v="1"/>
  </r>
  <r>
    <s v="EMP-1043"/>
    <x v="1"/>
    <s v="Ibadan"/>
    <s v="Female"/>
    <s v="Trained"/>
    <n v="7"/>
    <n v="5932"/>
    <n v="24485"/>
    <n v="90"/>
    <n v="56812"/>
    <n v="47"/>
    <n v="75"/>
    <s v="No"/>
    <x v="0"/>
  </r>
  <r>
    <s v="EMP-1044"/>
    <x v="3"/>
    <s v="Abuja"/>
    <s v="Female"/>
    <s v="Trained"/>
    <n v="8"/>
    <n v="17346"/>
    <n v="60359"/>
    <n v="83"/>
    <n v="92441"/>
    <n v="69"/>
    <n v="68"/>
    <s v="Yes"/>
    <x v="1"/>
  </r>
  <r>
    <s v="EMP-1045"/>
    <x v="2"/>
    <s v="Ibadan"/>
    <s v="Female"/>
    <s v="Control"/>
    <n v="9"/>
    <n v="9408"/>
    <n v="32827"/>
    <n v="62"/>
    <n v="60874"/>
    <n v="40"/>
    <n v="72"/>
    <s v="No"/>
    <x v="1"/>
  </r>
  <r>
    <s v="EMP-1046"/>
    <x v="2"/>
    <s v="Ibadan"/>
    <s v="Female"/>
    <s v="Trained"/>
    <n v="10"/>
    <n v="6405"/>
    <n v="30488"/>
    <n v="60"/>
    <n v="38436"/>
    <n v="32"/>
    <n v="63"/>
    <s v="Yes"/>
    <x v="1"/>
  </r>
  <r>
    <s v="EMP-1047"/>
    <x v="3"/>
    <s v="Port Harcourt"/>
    <s v="Male"/>
    <s v="Trained"/>
    <n v="11"/>
    <n v="6718"/>
    <n v="26750"/>
    <n v="102"/>
    <n v="46870"/>
    <n v="31"/>
    <n v="64"/>
    <s v="Yes"/>
    <x v="0"/>
  </r>
  <r>
    <s v="EMP-1048"/>
    <x v="2"/>
    <s v="Lagos"/>
    <s v="Male"/>
    <s v="Trained"/>
    <n v="12"/>
    <n v="23331"/>
    <n v="76359"/>
    <n v="130"/>
    <n v="132446"/>
    <n v="78"/>
    <n v="100"/>
    <s v="No"/>
    <x v="0"/>
  </r>
  <r>
    <s v="EMP-1049"/>
    <x v="2"/>
    <s v="Port Harcourt"/>
    <s v="Male"/>
    <s v="Trained"/>
    <n v="1"/>
    <n v="25283"/>
    <n v="79816"/>
    <n v="121"/>
    <n v="141767"/>
    <n v="86"/>
    <n v="83"/>
    <s v="No"/>
    <x v="0"/>
  </r>
  <r>
    <s v="EMP-1050"/>
    <x v="0"/>
    <s v="Ibadan"/>
    <s v="Male"/>
    <s v="Trained"/>
    <n v="2"/>
    <n v="21478"/>
    <n v="72546"/>
    <n v="60"/>
    <n v="109494"/>
    <n v="74"/>
    <n v="89"/>
    <s v="No"/>
    <x v="1"/>
  </r>
  <r>
    <s v="EMP-1051"/>
    <x v="2"/>
    <s v="Port Harcourt"/>
    <s v="Male"/>
    <s v="Control"/>
    <n v="3"/>
    <n v="16072"/>
    <n v="53961"/>
    <n v="80"/>
    <n v="86793"/>
    <n v="68"/>
    <n v="76"/>
    <s v="No"/>
    <x v="0"/>
  </r>
  <r>
    <s v="EMP-1052"/>
    <x v="3"/>
    <s v="Ibadan"/>
    <s v="Female"/>
    <s v="Control"/>
    <n v="4"/>
    <n v="26436"/>
    <n v="81496"/>
    <n v="124"/>
    <n v="131784"/>
    <n v="91"/>
    <n v="99"/>
    <s v="No"/>
    <x v="1"/>
  </r>
  <r>
    <s v="EMP-1053"/>
    <x v="2"/>
    <s v="Abuja"/>
    <s v="Male"/>
    <s v="Control"/>
    <n v="5"/>
    <n v="6674"/>
    <n v="22131"/>
    <n v="166"/>
    <n v="54724"/>
    <n v="38"/>
    <n v="100"/>
    <s v="No"/>
    <x v="0"/>
  </r>
  <r>
    <s v="EMP-1054"/>
    <x v="1"/>
    <s v="Abuja"/>
    <s v="Female"/>
    <s v="Control"/>
    <n v="6"/>
    <n v="28202"/>
    <n v="92025"/>
    <n v="138"/>
    <n v="175118"/>
    <n v="112"/>
    <n v="100"/>
    <s v="No"/>
    <x v="1"/>
  </r>
  <r>
    <s v="EMP-1055"/>
    <x v="1"/>
    <s v="Port Harcourt"/>
    <s v="Male"/>
    <s v="Trained"/>
    <n v="7"/>
    <n v="23443"/>
    <n v="73199"/>
    <n v="177"/>
    <n v="147858"/>
    <n v="96"/>
    <n v="94"/>
    <s v="No"/>
    <x v="1"/>
  </r>
  <r>
    <s v="EMP-1056"/>
    <x v="0"/>
    <s v="Lagos"/>
    <s v="Female"/>
    <s v="Trained"/>
    <n v="8"/>
    <n v="21480"/>
    <n v="76438"/>
    <n v="86"/>
    <n v="139814"/>
    <n v="84"/>
    <n v="90"/>
    <s v="No"/>
    <x v="0"/>
  </r>
  <r>
    <s v="EMP-1057"/>
    <x v="1"/>
    <s v="Abuja"/>
    <s v="Female"/>
    <s v="Control"/>
    <n v="9"/>
    <n v="6624"/>
    <n v="24561"/>
    <n v="70"/>
    <n v="48985"/>
    <n v="42"/>
    <n v="76"/>
    <s v="No"/>
    <x v="1"/>
  </r>
  <r>
    <s v="EMP-1058"/>
    <x v="2"/>
    <s v="Port Harcourt"/>
    <s v="Female"/>
    <s v="Trained"/>
    <n v="10"/>
    <n v="7031"/>
    <n v="28801"/>
    <n v="178"/>
    <n v="48493"/>
    <n v="42"/>
    <n v="62"/>
    <s v="Yes"/>
    <x v="1"/>
  </r>
  <r>
    <s v="EMP-1059"/>
    <x v="3"/>
    <s v="Abuja"/>
    <s v="Female"/>
    <s v="Trained"/>
    <n v="11"/>
    <n v="15376"/>
    <n v="56703"/>
    <n v="166"/>
    <n v="98505"/>
    <n v="60"/>
    <n v="89"/>
    <s v="No"/>
    <x v="0"/>
  </r>
  <r>
    <s v="EMP-1060"/>
    <x v="2"/>
    <s v="Lagos"/>
    <s v="Male"/>
    <s v="Control"/>
    <n v="12"/>
    <n v="17225"/>
    <n v="56787"/>
    <n v="59"/>
    <n v="106051"/>
    <n v="65"/>
    <n v="74"/>
    <s v="No"/>
    <x v="1"/>
  </r>
  <r>
    <s v="EMP-1061"/>
    <x v="2"/>
    <s v="Lagos"/>
    <s v="Male"/>
    <s v="Trained"/>
    <n v="1"/>
    <n v="21864"/>
    <n v="70865"/>
    <n v="58"/>
    <n v="128474"/>
    <n v="78"/>
    <n v="61"/>
    <s v="Yes"/>
    <x v="0"/>
  </r>
  <r>
    <s v="EMP-1062"/>
    <x v="1"/>
    <s v="Port Harcourt"/>
    <s v="Male"/>
    <s v="Trained"/>
    <n v="2"/>
    <n v="20820"/>
    <n v="65984"/>
    <n v="156"/>
    <n v="118158"/>
    <n v="76"/>
    <n v="81"/>
    <s v="No"/>
    <x v="1"/>
  </r>
  <r>
    <s v="EMP-1063"/>
    <x v="2"/>
    <s v="Ibadan"/>
    <s v="Female"/>
    <s v="Control"/>
    <n v="3"/>
    <n v="8845"/>
    <n v="33102"/>
    <n v="145"/>
    <n v="70939"/>
    <n v="59"/>
    <n v="79"/>
    <s v="No"/>
    <x v="1"/>
  </r>
  <r>
    <s v="EMP-1064"/>
    <x v="1"/>
    <s v="Ibadan"/>
    <s v="Male"/>
    <s v="Control"/>
    <n v="4"/>
    <n v="26347"/>
    <n v="89780"/>
    <n v="97"/>
    <n v="153267"/>
    <n v="93"/>
    <n v="55"/>
    <s v="Yes"/>
    <x v="1"/>
  </r>
  <r>
    <s v="EMP-1065"/>
    <x v="2"/>
    <s v="Abuja"/>
    <s v="Male"/>
    <s v="Control"/>
    <n v="5"/>
    <n v="26926"/>
    <n v="89636"/>
    <n v="76"/>
    <n v="145608"/>
    <n v="86"/>
    <n v="78"/>
    <s v="No"/>
    <x v="0"/>
  </r>
  <r>
    <s v="EMP-1066"/>
    <x v="0"/>
    <s v="Port Harcourt"/>
    <s v="Male"/>
    <s v="Control"/>
    <n v="6"/>
    <n v="8598"/>
    <n v="34942"/>
    <n v="173"/>
    <n v="77751"/>
    <n v="59"/>
    <n v="93"/>
    <s v="No"/>
    <x v="1"/>
  </r>
  <r>
    <s v="EMP-1067"/>
    <x v="0"/>
    <s v="Port Harcourt"/>
    <s v="Male"/>
    <s v="Control"/>
    <n v="7"/>
    <n v="20964"/>
    <n v="72783"/>
    <n v="65"/>
    <n v="122784"/>
    <n v="73"/>
    <n v="82"/>
    <s v="No"/>
    <x v="1"/>
  </r>
  <r>
    <s v="EMP-1068"/>
    <x v="0"/>
    <s v="Lagos"/>
    <s v="Female"/>
    <s v="Trained"/>
    <n v="8"/>
    <n v="6756"/>
    <n v="31664"/>
    <n v="155"/>
    <n v="70565"/>
    <n v="46"/>
    <n v="86"/>
    <s v="No"/>
    <x v="1"/>
  </r>
  <r>
    <s v="EMP-1069"/>
    <x v="1"/>
    <s v="Abuja"/>
    <s v="Male"/>
    <s v="Trained"/>
    <n v="9"/>
    <n v="21788"/>
    <n v="74431"/>
    <n v="120"/>
    <n v="142039"/>
    <n v="96"/>
    <n v="64"/>
    <s v="Yes"/>
    <x v="1"/>
  </r>
  <r>
    <s v="EMP-1070"/>
    <x v="3"/>
    <s v="Abuja"/>
    <s v="Male"/>
    <s v="Trained"/>
    <n v="10"/>
    <n v="15868"/>
    <n v="53686"/>
    <n v="170"/>
    <n v="108296"/>
    <n v="69"/>
    <n v="79"/>
    <s v="No"/>
    <x v="0"/>
  </r>
  <r>
    <s v="EMP-1071"/>
    <x v="3"/>
    <s v="Abuja"/>
    <s v="Female"/>
    <s v="Control"/>
    <n v="11"/>
    <n v="14631"/>
    <n v="46519"/>
    <n v="157"/>
    <n v="87994"/>
    <n v="57"/>
    <n v="89"/>
    <s v="No"/>
    <x v="1"/>
  </r>
  <r>
    <s v="EMP-1072"/>
    <x v="1"/>
    <s v="Lagos"/>
    <s v="Male"/>
    <s v="Control"/>
    <n v="12"/>
    <n v="14339"/>
    <n v="51743"/>
    <n v="73"/>
    <n v="90086"/>
    <n v="64"/>
    <n v="65"/>
    <s v="Yes"/>
    <x v="1"/>
  </r>
  <r>
    <s v="EMP-1073"/>
    <x v="3"/>
    <s v="Lagos"/>
    <s v="Female"/>
    <s v="Trained"/>
    <n v="1"/>
    <n v="7965"/>
    <n v="29824"/>
    <n v="137"/>
    <n v="55216"/>
    <n v="50"/>
    <n v="73"/>
    <s v="No"/>
    <x v="1"/>
  </r>
  <r>
    <s v="EMP-1074"/>
    <x v="2"/>
    <s v="Lagos"/>
    <s v="Male"/>
    <s v="Control"/>
    <n v="2"/>
    <n v="26866"/>
    <n v="91053"/>
    <n v="89"/>
    <n v="165042"/>
    <n v="102"/>
    <n v="63"/>
    <s v="Yes"/>
    <x v="1"/>
  </r>
  <r>
    <s v="EMP-1075"/>
    <x v="0"/>
    <s v="Lagos"/>
    <s v="Female"/>
    <s v="Trained"/>
    <n v="3"/>
    <n v="18626"/>
    <n v="63208"/>
    <n v="75"/>
    <n v="111209"/>
    <n v="69"/>
    <n v="62"/>
    <s v="Yes"/>
    <x v="1"/>
  </r>
  <r>
    <s v="EMP-1076"/>
    <x v="2"/>
    <s v="Lagos"/>
    <s v="Male"/>
    <s v="Control"/>
    <n v="4"/>
    <n v="18400"/>
    <n v="59478"/>
    <n v="80"/>
    <n v="115047"/>
    <n v="74"/>
    <n v="85"/>
    <s v="No"/>
    <x v="1"/>
  </r>
  <r>
    <s v="EMP-1077"/>
    <x v="0"/>
    <s v="Port Harcourt"/>
    <s v="Female"/>
    <s v="Control"/>
    <n v="5"/>
    <n v="11193"/>
    <n v="37721"/>
    <n v="70"/>
    <n v="71256"/>
    <n v="51"/>
    <n v="66"/>
    <s v="Yes"/>
    <x v="1"/>
  </r>
  <r>
    <s v="EMP-1078"/>
    <x v="2"/>
    <s v="Port Harcourt"/>
    <s v="Male"/>
    <s v="Trained"/>
    <n v="6"/>
    <n v="10978"/>
    <n v="43228"/>
    <n v="159"/>
    <n v="81780"/>
    <n v="63"/>
    <n v="88"/>
    <s v="No"/>
    <x v="1"/>
  </r>
  <r>
    <s v="EMP-1079"/>
    <x v="3"/>
    <s v="Ibadan"/>
    <s v="Female"/>
    <s v="Control"/>
    <n v="7"/>
    <n v="13927"/>
    <n v="44445"/>
    <n v="158"/>
    <n v="93884"/>
    <n v="57"/>
    <n v="55"/>
    <s v="Yes"/>
    <x v="1"/>
  </r>
  <r>
    <s v="EMP-1080"/>
    <x v="0"/>
    <s v="Ibadan"/>
    <s v="Female"/>
    <s v="Trained"/>
    <n v="8"/>
    <n v="29266"/>
    <n v="96538"/>
    <n v="167"/>
    <n v="176417"/>
    <n v="111"/>
    <n v="74"/>
    <s v="No"/>
    <x v="1"/>
  </r>
  <r>
    <s v="EMP-1081"/>
    <x v="0"/>
    <s v="Abuja"/>
    <s v="Male"/>
    <s v="Trained"/>
    <n v="9"/>
    <n v="16486"/>
    <n v="60115"/>
    <n v="100"/>
    <n v="112544"/>
    <n v="75"/>
    <n v="64"/>
    <s v="Yes"/>
    <x v="1"/>
  </r>
  <r>
    <s v="EMP-1082"/>
    <x v="0"/>
    <s v="Ibadan"/>
    <s v="Male"/>
    <s v="Trained"/>
    <n v="10"/>
    <n v="26092"/>
    <n v="84299"/>
    <n v="53"/>
    <n v="131540"/>
    <n v="80"/>
    <n v="65"/>
    <s v="Yes"/>
    <x v="1"/>
  </r>
  <r>
    <s v="EMP-1083"/>
    <x v="3"/>
    <s v="Lagos"/>
    <s v="Male"/>
    <s v="Control"/>
    <n v="11"/>
    <n v="7238"/>
    <n v="33483"/>
    <n v="49"/>
    <n v="50491"/>
    <n v="46"/>
    <n v="81"/>
    <s v="No"/>
    <x v="1"/>
  </r>
  <r>
    <s v="EMP-1084"/>
    <x v="3"/>
    <s v="Lagos"/>
    <s v="Female"/>
    <s v="Control"/>
    <n v="12"/>
    <n v="14831"/>
    <n v="49842"/>
    <n v="125"/>
    <n v="90467"/>
    <n v="69"/>
    <n v="68"/>
    <s v="Yes"/>
    <x v="1"/>
  </r>
  <r>
    <s v="EMP-1085"/>
    <x v="2"/>
    <s v="Lagos"/>
    <s v="Female"/>
    <s v="Trained"/>
    <n v="1"/>
    <n v="7220"/>
    <n v="29731"/>
    <n v="149"/>
    <n v="60702"/>
    <n v="38"/>
    <n v="73"/>
    <s v="No"/>
    <x v="1"/>
  </r>
  <r>
    <s v="EMP-1086"/>
    <x v="1"/>
    <s v="Port Harcourt"/>
    <s v="Female"/>
    <s v="Control"/>
    <n v="2"/>
    <n v="23504"/>
    <n v="80963"/>
    <n v="159"/>
    <n v="132627"/>
    <n v="90"/>
    <n v="57"/>
    <s v="Yes"/>
    <x v="0"/>
  </r>
  <r>
    <s v="EMP-1087"/>
    <x v="0"/>
    <s v="Port Harcourt"/>
    <s v="Male"/>
    <s v="Control"/>
    <n v="3"/>
    <n v="13100"/>
    <n v="48692"/>
    <n v="139"/>
    <n v="74733"/>
    <n v="54"/>
    <n v="76"/>
    <s v="No"/>
    <x v="1"/>
  </r>
  <r>
    <s v="EMP-1088"/>
    <x v="1"/>
    <s v="Port Harcourt"/>
    <s v="Male"/>
    <s v="Control"/>
    <n v="4"/>
    <n v="10625"/>
    <n v="38736"/>
    <n v="178"/>
    <n v="93653"/>
    <n v="69"/>
    <n v="69"/>
    <s v="Yes"/>
    <x v="1"/>
  </r>
  <r>
    <s v="EMP-1089"/>
    <x v="3"/>
    <s v="Port Harcourt"/>
    <s v="Male"/>
    <s v="Trained"/>
    <n v="5"/>
    <n v="16125"/>
    <n v="53329"/>
    <n v="131"/>
    <n v="99783"/>
    <n v="66"/>
    <n v="92"/>
    <s v="No"/>
    <x v="1"/>
  </r>
  <r>
    <s v="EMP-1090"/>
    <x v="3"/>
    <s v="Ibadan"/>
    <s v="Female"/>
    <s v="Trained"/>
    <n v="6"/>
    <n v="27931"/>
    <n v="93694"/>
    <n v="48"/>
    <n v="137237"/>
    <n v="95"/>
    <n v="69"/>
    <s v="Yes"/>
    <x v="0"/>
  </r>
  <r>
    <s v="EMP-1091"/>
    <x v="2"/>
    <s v="Ibadan"/>
    <s v="Female"/>
    <s v="Trained"/>
    <n v="7"/>
    <n v="6635"/>
    <n v="23609"/>
    <n v="68"/>
    <n v="53590"/>
    <n v="38"/>
    <n v="57"/>
    <s v="Yes"/>
    <x v="1"/>
  </r>
  <r>
    <s v="EMP-1092"/>
    <x v="2"/>
    <s v="Lagos"/>
    <s v="Female"/>
    <s v="Control"/>
    <n v="8"/>
    <n v="25571"/>
    <n v="81575"/>
    <n v="94"/>
    <n v="141943"/>
    <n v="86"/>
    <n v="84"/>
    <s v="No"/>
    <x v="0"/>
  </r>
  <r>
    <s v="EMP-1093"/>
    <x v="3"/>
    <s v="Lagos"/>
    <s v="Female"/>
    <s v="Trained"/>
    <n v="9"/>
    <n v="27384"/>
    <n v="86366"/>
    <n v="176"/>
    <n v="166277"/>
    <n v="112"/>
    <n v="98"/>
    <s v="No"/>
    <x v="1"/>
  </r>
  <r>
    <s v="EMP-1094"/>
    <x v="1"/>
    <s v="Port Harcourt"/>
    <s v="Female"/>
    <s v="Control"/>
    <n v="10"/>
    <n v="12890"/>
    <n v="48516"/>
    <n v="49"/>
    <n v="66899"/>
    <n v="51"/>
    <n v="78"/>
    <s v="No"/>
    <x v="1"/>
  </r>
  <r>
    <s v="EMP-1095"/>
    <x v="2"/>
    <s v="Port Harcourt"/>
    <s v="Female"/>
    <s v="Control"/>
    <n v="11"/>
    <n v="24085"/>
    <n v="79027"/>
    <n v="117"/>
    <n v="148293"/>
    <n v="101"/>
    <n v="65"/>
    <s v="Yes"/>
    <x v="1"/>
  </r>
  <r>
    <s v="EMP-1096"/>
    <x v="1"/>
    <s v="Lagos"/>
    <s v="Male"/>
    <s v="Control"/>
    <n v="12"/>
    <n v="16984"/>
    <n v="54981"/>
    <n v="129"/>
    <n v="109480"/>
    <n v="66"/>
    <n v="73"/>
    <s v="No"/>
    <x v="1"/>
  </r>
  <r>
    <s v="EMP-1097"/>
    <x v="2"/>
    <s v="Ibadan"/>
    <s v="Male"/>
    <s v="Trained"/>
    <n v="1"/>
    <n v="18725"/>
    <n v="61857"/>
    <n v="106"/>
    <n v="97727"/>
    <n v="68"/>
    <n v="59"/>
    <s v="Yes"/>
    <x v="1"/>
  </r>
  <r>
    <s v="EMP-1098"/>
    <x v="3"/>
    <s v="Abuja"/>
    <s v="Male"/>
    <s v="Control"/>
    <n v="2"/>
    <n v="19724"/>
    <n v="70426"/>
    <n v="178"/>
    <n v="119205"/>
    <n v="71"/>
    <n v="97"/>
    <s v="No"/>
    <x v="1"/>
  </r>
  <r>
    <s v="EMP-1099"/>
    <x v="1"/>
    <s v="Abuja"/>
    <s v="Female"/>
    <s v="Control"/>
    <n v="3"/>
    <n v="20105"/>
    <n v="67443"/>
    <n v="59"/>
    <n v="106892"/>
    <n v="76"/>
    <n v="66"/>
    <s v="Yes"/>
    <x v="1"/>
  </r>
  <r>
    <s v="EMP-1100"/>
    <x v="3"/>
    <s v="Lagos"/>
    <s v="Male"/>
    <s v="Trained"/>
    <n v="4"/>
    <n v="8595"/>
    <n v="29139"/>
    <n v="147"/>
    <n v="62723"/>
    <n v="49"/>
    <n v="76"/>
    <s v="No"/>
    <x v="1"/>
  </r>
  <r>
    <s v="EMP-1101"/>
    <x v="3"/>
    <s v="Port Harcourt"/>
    <s v="Male"/>
    <s v="Trained"/>
    <n v="5"/>
    <n v="18383"/>
    <n v="60167"/>
    <n v="83"/>
    <n v="92035"/>
    <n v="65"/>
    <n v="70"/>
    <s v="No"/>
    <x v="1"/>
  </r>
  <r>
    <s v="EMP-1102"/>
    <x v="0"/>
    <s v="Ibadan"/>
    <s v="Male"/>
    <s v="Trained"/>
    <n v="6"/>
    <n v="27046"/>
    <n v="83720"/>
    <n v="84"/>
    <n v="148874"/>
    <n v="89"/>
    <n v="67"/>
    <s v="Yes"/>
    <x v="1"/>
  </r>
  <r>
    <s v="EMP-1103"/>
    <x v="2"/>
    <s v="Lagos"/>
    <s v="Female"/>
    <s v="Control"/>
    <n v="7"/>
    <n v="12289"/>
    <n v="44258"/>
    <n v="84"/>
    <n v="68052"/>
    <n v="52"/>
    <n v="94"/>
    <s v="No"/>
    <x v="1"/>
  </r>
  <r>
    <s v="EMP-1104"/>
    <x v="1"/>
    <s v="Lagos"/>
    <s v="Male"/>
    <s v="Trained"/>
    <n v="8"/>
    <n v="23324"/>
    <n v="80760"/>
    <n v="103"/>
    <n v="131641"/>
    <n v="80"/>
    <n v="61"/>
    <s v="Yes"/>
    <x v="1"/>
  </r>
  <r>
    <s v="EMP-1105"/>
    <x v="3"/>
    <s v="Port Harcourt"/>
    <s v="Male"/>
    <s v="Control"/>
    <n v="9"/>
    <n v="23271"/>
    <n v="81160"/>
    <n v="130"/>
    <n v="134670"/>
    <n v="85"/>
    <n v="56"/>
    <s v="Yes"/>
    <x v="0"/>
  </r>
  <r>
    <s v="EMP-1106"/>
    <x v="0"/>
    <s v="Port Harcourt"/>
    <s v="Female"/>
    <s v="Control"/>
    <n v="10"/>
    <n v="8024"/>
    <n v="26994"/>
    <n v="178"/>
    <n v="75249"/>
    <n v="59"/>
    <n v="82"/>
    <s v="No"/>
    <x v="1"/>
  </r>
  <r>
    <s v="EMP-1107"/>
    <x v="1"/>
    <s v="Lagos"/>
    <s v="Female"/>
    <s v="Control"/>
    <n v="11"/>
    <n v="9406"/>
    <n v="37716"/>
    <n v="137"/>
    <n v="68335"/>
    <n v="56"/>
    <n v="92"/>
    <s v="No"/>
    <x v="1"/>
  </r>
  <r>
    <s v="EMP-1108"/>
    <x v="2"/>
    <s v="Lagos"/>
    <s v="Male"/>
    <s v="Control"/>
    <n v="12"/>
    <n v="15626"/>
    <n v="58489"/>
    <n v="177"/>
    <n v="94429"/>
    <n v="69"/>
    <n v="95"/>
    <s v="No"/>
    <x v="1"/>
  </r>
  <r>
    <s v="EMP-1109"/>
    <x v="2"/>
    <s v="Port Harcourt"/>
    <s v="Female"/>
    <s v="Control"/>
    <n v="1"/>
    <n v="10603"/>
    <n v="43280"/>
    <n v="114"/>
    <n v="76471"/>
    <n v="60"/>
    <n v="88"/>
    <s v="No"/>
    <x v="0"/>
  </r>
  <r>
    <s v="EMP-1110"/>
    <x v="2"/>
    <s v="Port Harcourt"/>
    <s v="Female"/>
    <s v="Control"/>
    <n v="2"/>
    <n v="25741"/>
    <n v="79665"/>
    <n v="71"/>
    <n v="122524"/>
    <n v="85"/>
    <n v="78"/>
    <s v="No"/>
    <x v="1"/>
  </r>
  <r>
    <s v="EMP-1111"/>
    <x v="3"/>
    <s v="Lagos"/>
    <s v="Male"/>
    <s v="Control"/>
    <n v="3"/>
    <n v="13146"/>
    <n v="45196"/>
    <n v="135"/>
    <n v="77832"/>
    <n v="54"/>
    <n v="99"/>
    <s v="No"/>
    <x v="0"/>
  </r>
  <r>
    <s v="EMP-1112"/>
    <x v="3"/>
    <s v="Lagos"/>
    <s v="Female"/>
    <s v="Control"/>
    <n v="4"/>
    <n v="16856"/>
    <n v="58438"/>
    <n v="102"/>
    <n v="89767"/>
    <n v="60"/>
    <n v="62"/>
    <s v="Yes"/>
    <x v="1"/>
  </r>
  <r>
    <s v="EMP-1113"/>
    <x v="0"/>
    <s v="Abuja"/>
    <s v="Female"/>
    <s v="Trained"/>
    <n v="5"/>
    <n v="25084"/>
    <n v="80170"/>
    <n v="170"/>
    <n v="151883"/>
    <n v="99"/>
    <n v="91"/>
    <s v="No"/>
    <x v="0"/>
  </r>
  <r>
    <s v="EMP-1114"/>
    <x v="0"/>
    <s v="Lagos"/>
    <s v="Female"/>
    <s v="Trained"/>
    <n v="6"/>
    <n v="21329"/>
    <n v="73410"/>
    <n v="153"/>
    <n v="128900"/>
    <n v="80"/>
    <n v="70"/>
    <s v="No"/>
    <x v="1"/>
  </r>
  <r>
    <s v="EMP-1115"/>
    <x v="2"/>
    <s v="Lagos"/>
    <s v="Female"/>
    <s v="Control"/>
    <n v="7"/>
    <n v="8140"/>
    <n v="31334"/>
    <n v="147"/>
    <n v="50192"/>
    <n v="38"/>
    <n v="68"/>
    <s v="Yes"/>
    <x v="1"/>
  </r>
  <r>
    <s v="EMP-1116"/>
    <x v="1"/>
    <s v="Lagos"/>
    <s v="Male"/>
    <s v="Control"/>
    <n v="8"/>
    <n v="19358"/>
    <n v="63593"/>
    <n v="55"/>
    <n v="105321"/>
    <n v="77"/>
    <n v="70"/>
    <s v="No"/>
    <x v="1"/>
  </r>
  <r>
    <s v="EMP-1117"/>
    <x v="3"/>
    <s v="Lagos"/>
    <s v="Female"/>
    <s v="Control"/>
    <n v="9"/>
    <n v="10262"/>
    <n v="37193"/>
    <n v="40"/>
    <n v="56563"/>
    <n v="39"/>
    <n v="66"/>
    <s v="Yes"/>
    <x v="0"/>
  </r>
  <r>
    <s v="EMP-1118"/>
    <x v="2"/>
    <s v="Ibadan"/>
    <s v="Male"/>
    <s v="Control"/>
    <n v="10"/>
    <n v="26797"/>
    <n v="91214"/>
    <n v="49"/>
    <n v="134886"/>
    <n v="88"/>
    <n v="69"/>
    <s v="Yes"/>
    <x v="1"/>
  </r>
  <r>
    <s v="EMP-1119"/>
    <x v="0"/>
    <s v="Ibadan"/>
    <s v="Female"/>
    <s v="Control"/>
    <n v="11"/>
    <n v="16895"/>
    <n v="60579"/>
    <n v="86"/>
    <n v="95905"/>
    <n v="72"/>
    <n v="76"/>
    <s v="No"/>
    <x v="1"/>
  </r>
  <r>
    <s v="EMP-1120"/>
    <x v="1"/>
    <s v="Abuja"/>
    <s v="Male"/>
    <s v="Control"/>
    <n v="12"/>
    <n v="15010"/>
    <n v="50115"/>
    <n v="76"/>
    <n v="99375"/>
    <n v="62"/>
    <n v="87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A1225-A618-42E3-9765-800458BBC996}" name="PivotTable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8:D274" firstHeaderRow="1" firstDataRow="2" firstDataCol="1"/>
  <pivotFields count="14"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44" showAll="0"/>
    <pivotField showAll="0"/>
    <pivotField showAll="0"/>
    <pivotField numFmtId="44"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roject_Status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1BB34-9088-421A-8D05-9A2FBBD2A609}" name="PivotTable24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Revenue" fld="1" subtotal="average" baseField="0" baseItem="0"/>
  </dataFields>
  <formats count="2">
    <format dxfId="6">
      <pivotArea collapsedLevelsAreSubtotals="1" fieldPosition="0">
        <references count="1">
          <reference field="0" count="0"/>
        </references>
      </pivotArea>
    </format>
    <format dxfId="5">
      <pivotArea grandRow="1"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vanced_statistics_mini_project_dataset_with_instruction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F3D13-5EEA-468F-8542-644BB0F9E3B0}" name="PivotTable2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Revenue" fld="1" subtotal="average" baseField="0" baseItem="0" numFmtId="43"/>
  </dataFields>
  <formats count="1">
    <format dxfId="0">
      <pivotArea outline="0" collapsedLevelsAreSubtotals="1" fieldPosition="0"/>
    </format>
  </format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Revenue"/>
    <pivotHierarchy dragToData="1" caption="Average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vanced_statistics_mini_project_dataset_with_instruction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90961-B90F-4035-8BFF-09FCB88E8DD7}" name="Table1" displayName="Table1" ref="A1:T121" totalsRowShown="0">
  <autoFilter ref="A1:T121" xr:uid="{5E890961-B90F-4035-8BFF-09FCB88E8DD7}"/>
  <tableColumns count="20">
    <tableColumn id="1" xr3:uid="{CD1C0F79-0208-470E-9C86-62769967C7A5}" name="Employee_ID"/>
    <tableColumn id="2" xr3:uid="{472704D9-72BF-4953-B420-53E24771BE40}" name="Department"/>
    <tableColumn id="3" xr3:uid="{74328F69-83F9-4D7E-8000-4FABF48BC7D5}" name="Region"/>
    <tableColumn id="4" xr3:uid="{ACB3F705-7691-49BE-AE59-D24C394CD076}" name="Gender"/>
    <tableColumn id="5" xr3:uid="{BE535E5A-7DDC-4B85-8536-F54AF2C34CC3}" name="Training_Group"/>
    <tableColumn id="6" xr3:uid="{513FA8BB-FA55-467A-914F-2D0F0A466CB1}" name="Month_No"/>
    <tableColumn id="15" xr3:uid="{DCCB46E6-A7E8-4D44-ACFF-5496C477BEB7}" name="Month_Flag" dataDxfId="24">
      <calculatedColumnFormula>TEXT(DATE(2011,F2,1),"mmm")</calculatedColumnFormula>
    </tableColumn>
    <tableColumn id="16" xr3:uid="{3C2D7298-8307-46D7-89E5-E69B2A4D40CB}" name="Year" dataDxfId="23">
      <calculatedColumnFormula>2016+INT((ROW(F2)-2)/12)</calculatedColumnFormula>
    </tableColumn>
    <tableColumn id="17" xr3:uid="{02B59532-9882-47BF-9CA8-4C81229FF12B}" name="Month_Year" dataDxfId="22">
      <calculatedColumnFormula>TEXT(EDATE(DATE(2016,1,1),ROW(G2)-2),"mmm-yyyy")</calculatedColumnFormula>
    </tableColumn>
    <tableColumn id="20" xr3:uid="{9966C7D2-CDC0-4C4B-AABB-6CC790D307DF}" name="Quarter" dataDxfId="19">
      <calculatedColumnFormula>"Q"&amp;ROUNDUP(MONTH(DATEVALUE("1-"&amp;I2))/3,0)</calculatedColumnFormula>
    </tableColumn>
    <tableColumn id="7" xr3:uid="{E8B03C8F-C4B7-49EE-8AEB-547EB577BC74}" name="Marketing_Spend" dataCellStyle="Currency"/>
    <tableColumn id="8" xr3:uid="{6E6F6040-98A3-4EA5-ADDF-676C33C606EB}" name="Website_Traffic"/>
    <tableColumn id="9" xr3:uid="{89BAFAF0-424F-48D2-8088-BE91802A19E4}" name="Sales_Calls"/>
    <tableColumn id="10" xr3:uid="{6EA9818F-409A-4F00-8946-8DC26AAE7160}" name="Sales_Revenue" dataCellStyle="Currency"/>
    <tableColumn id="18" xr3:uid="{77CD431B-68CE-46BC-9B81-FE4711400295}" name="3-Month Moving Average" dataDxfId="21" dataCellStyle="Currency"/>
    <tableColumn id="19" xr3:uid="{B580B3FE-54FD-4A83-8937-BEE1BB97A6F2}" name="4-Month Moving Average" dataDxfId="20" dataCellStyle="Currency"/>
    <tableColumn id="11" xr3:uid="{E4EE034A-DB57-4442-8AFA-1E96B1F54A8E}" name="Customer_Orders"/>
    <tableColumn id="12" xr3:uid="{AB50A802-F440-43C4-BCDF-B452B5B64154}" name="Employee_Satisfaction"/>
    <tableColumn id="13" xr3:uid="{8EF2F5EF-B9F3-4798-BA3D-17D1300E7D2B}" name="Attrition"/>
    <tableColumn id="14" xr3:uid="{34A0FAB4-0ED0-402D-B8D0-E36CBE88ACD9}" name="Project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abSelected="1" workbookViewId="0"/>
  </sheetViews>
  <sheetFormatPr defaultRowHeight="14.4" x14ac:dyDescent="0.3"/>
  <cols>
    <col min="1" max="1" width="47" customWidth="1"/>
    <col min="2" max="2" width="80" customWidth="1"/>
  </cols>
  <sheetData>
    <row r="1" spans="1:2" ht="18" x14ac:dyDescent="0.35">
      <c r="A1" s="1" t="s">
        <v>150</v>
      </c>
      <c r="B1" s="2"/>
    </row>
    <row r="3" spans="1:2" x14ac:dyDescent="0.3">
      <c r="A3" s="1" t="s">
        <v>151</v>
      </c>
      <c r="B3" t="s">
        <v>152</v>
      </c>
    </row>
    <row r="5" spans="1:2" x14ac:dyDescent="0.3">
      <c r="A5" s="1" t="s">
        <v>153</v>
      </c>
    </row>
    <row r="6" spans="1:2" x14ac:dyDescent="0.3">
      <c r="A6" s="1" t="s">
        <v>0</v>
      </c>
      <c r="B6" t="s">
        <v>154</v>
      </c>
    </row>
    <row r="7" spans="1:2" x14ac:dyDescent="0.3">
      <c r="A7" s="1" t="s">
        <v>1</v>
      </c>
      <c r="B7" t="s">
        <v>155</v>
      </c>
    </row>
    <row r="8" spans="1:2" x14ac:dyDescent="0.3">
      <c r="A8" s="1" t="s">
        <v>2</v>
      </c>
      <c r="B8" t="s">
        <v>156</v>
      </c>
    </row>
    <row r="9" spans="1:2" x14ac:dyDescent="0.3">
      <c r="A9" s="1" t="s">
        <v>3</v>
      </c>
      <c r="B9" t="s">
        <v>157</v>
      </c>
    </row>
    <row r="10" spans="1:2" x14ac:dyDescent="0.3">
      <c r="A10" s="1" t="s">
        <v>4</v>
      </c>
      <c r="B10" t="s">
        <v>158</v>
      </c>
    </row>
    <row r="11" spans="1:2" x14ac:dyDescent="0.3">
      <c r="A11" s="1" t="s">
        <v>5</v>
      </c>
      <c r="B11" t="s">
        <v>159</v>
      </c>
    </row>
    <row r="12" spans="1:2" x14ac:dyDescent="0.3">
      <c r="A12" s="1" t="s">
        <v>6</v>
      </c>
      <c r="B12" t="s">
        <v>160</v>
      </c>
    </row>
    <row r="13" spans="1:2" x14ac:dyDescent="0.3">
      <c r="A13" s="1" t="s">
        <v>7</v>
      </c>
      <c r="B13" t="s">
        <v>161</v>
      </c>
    </row>
    <row r="14" spans="1:2" x14ac:dyDescent="0.3">
      <c r="A14" s="1" t="s">
        <v>8</v>
      </c>
      <c r="B14" t="s">
        <v>162</v>
      </c>
    </row>
    <row r="15" spans="1:2" x14ac:dyDescent="0.3">
      <c r="A15" s="1" t="s">
        <v>9</v>
      </c>
      <c r="B15" t="s">
        <v>163</v>
      </c>
    </row>
    <row r="16" spans="1:2" x14ac:dyDescent="0.3">
      <c r="A16" s="1" t="s">
        <v>10</v>
      </c>
      <c r="B16" t="s">
        <v>164</v>
      </c>
    </row>
    <row r="17" spans="1:2" x14ac:dyDescent="0.3">
      <c r="A17" s="1" t="s">
        <v>11</v>
      </c>
      <c r="B17" t="s">
        <v>165</v>
      </c>
    </row>
    <row r="18" spans="1:2" x14ac:dyDescent="0.3">
      <c r="A18" s="1" t="s">
        <v>12</v>
      </c>
      <c r="B18" t="s">
        <v>166</v>
      </c>
    </row>
    <row r="19" spans="1:2" x14ac:dyDescent="0.3">
      <c r="A19" s="1" t="s">
        <v>13</v>
      </c>
      <c r="B19" t="s">
        <v>167</v>
      </c>
    </row>
    <row r="21" spans="1:2" x14ac:dyDescent="0.3">
      <c r="A21" s="1" t="s">
        <v>168</v>
      </c>
    </row>
    <row r="22" spans="1:2" x14ac:dyDescent="0.3">
      <c r="A22" s="1" t="s">
        <v>169</v>
      </c>
      <c r="B22" t="s">
        <v>170</v>
      </c>
    </row>
    <row r="23" spans="1:2" x14ac:dyDescent="0.3">
      <c r="A23" s="1" t="s">
        <v>171</v>
      </c>
      <c r="B23" t="s">
        <v>172</v>
      </c>
    </row>
    <row r="24" spans="1:2" x14ac:dyDescent="0.3">
      <c r="A24" s="1" t="s">
        <v>173</v>
      </c>
      <c r="B24" t="s">
        <v>174</v>
      </c>
    </row>
    <row r="25" spans="1:2" x14ac:dyDescent="0.3">
      <c r="A25" s="1" t="s">
        <v>175</v>
      </c>
      <c r="B25" t="s">
        <v>176</v>
      </c>
    </row>
    <row r="26" spans="1:2" x14ac:dyDescent="0.3">
      <c r="A26" s="1" t="s">
        <v>177</v>
      </c>
      <c r="B26" t="s">
        <v>178</v>
      </c>
    </row>
    <row r="27" spans="1:2" x14ac:dyDescent="0.3">
      <c r="A27" s="1" t="s">
        <v>179</v>
      </c>
      <c r="B27" t="s">
        <v>180</v>
      </c>
    </row>
    <row r="28" spans="1:2" x14ac:dyDescent="0.3">
      <c r="A28" s="1" t="s">
        <v>181</v>
      </c>
      <c r="B28" t="s">
        <v>182</v>
      </c>
    </row>
    <row r="29" spans="1:2" x14ac:dyDescent="0.3">
      <c r="A29" s="1" t="s">
        <v>183</v>
      </c>
      <c r="B29" t="s">
        <v>184</v>
      </c>
    </row>
    <row r="30" spans="1:2" x14ac:dyDescent="0.3">
      <c r="A30" s="1" t="s">
        <v>185</v>
      </c>
      <c r="B30" t="s">
        <v>186</v>
      </c>
    </row>
    <row r="32" spans="1:2" x14ac:dyDescent="0.3">
      <c r="A32" s="1" t="s">
        <v>187</v>
      </c>
    </row>
    <row r="33" spans="1:2" x14ac:dyDescent="0.3">
      <c r="A33" s="1" t="s">
        <v>188</v>
      </c>
      <c r="B33" t="s">
        <v>189</v>
      </c>
    </row>
    <row r="34" spans="1:2" x14ac:dyDescent="0.3">
      <c r="A34" s="1" t="s">
        <v>190</v>
      </c>
      <c r="B34" t="s">
        <v>191</v>
      </c>
    </row>
    <row r="35" spans="1:2" x14ac:dyDescent="0.3">
      <c r="A35" s="1" t="s">
        <v>192</v>
      </c>
      <c r="B35" t="s">
        <v>193</v>
      </c>
    </row>
    <row r="36" spans="1:2" x14ac:dyDescent="0.3">
      <c r="A36" s="1" t="s">
        <v>194</v>
      </c>
      <c r="B36" t="s">
        <v>195</v>
      </c>
    </row>
    <row r="37" spans="1:2" x14ac:dyDescent="0.3">
      <c r="A37" s="1" t="s">
        <v>196</v>
      </c>
      <c r="B37" t="s">
        <v>195</v>
      </c>
    </row>
    <row r="39" spans="1:2" x14ac:dyDescent="0.3">
      <c r="A39" s="1" t="s">
        <v>197</v>
      </c>
    </row>
    <row r="40" spans="1:2" x14ac:dyDescent="0.3">
      <c r="A40" s="1" t="s">
        <v>198</v>
      </c>
      <c r="B40" t="s">
        <v>199</v>
      </c>
    </row>
    <row r="41" spans="1:2" x14ac:dyDescent="0.3">
      <c r="A41" s="1" t="s">
        <v>200</v>
      </c>
      <c r="B41" t="s">
        <v>201</v>
      </c>
    </row>
    <row r="42" spans="1:2" x14ac:dyDescent="0.3">
      <c r="A42" s="1" t="s">
        <v>202</v>
      </c>
      <c r="B42" t="s">
        <v>203</v>
      </c>
    </row>
    <row r="43" spans="1:2" x14ac:dyDescent="0.3">
      <c r="A43" s="1" t="s">
        <v>204</v>
      </c>
      <c r="B43" t="s">
        <v>205</v>
      </c>
    </row>
    <row r="44" spans="1:2" x14ac:dyDescent="0.3">
      <c r="A44" s="1" t="s">
        <v>206</v>
      </c>
      <c r="B44" t="s">
        <v>207</v>
      </c>
    </row>
    <row r="46" spans="1:2" x14ac:dyDescent="0.3">
      <c r="A46" s="1" t="s">
        <v>208</v>
      </c>
      <c r="B46" t="s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4"/>
  <sheetViews>
    <sheetView workbookViewId="0">
      <pane ySplit="1" topLeftCell="A421" activePane="bottomLeft" state="frozen"/>
      <selection pane="bottomLeft" activeCell="C434" sqref="C434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11.5546875" bestFit="1" customWidth="1"/>
    <col min="4" max="4" width="10.77734375" bestFit="1" customWidth="1"/>
    <col min="5" max="5" width="16.33203125" bestFit="1" customWidth="1"/>
    <col min="6" max="6" width="15.77734375" bestFit="1" customWidth="1"/>
    <col min="7" max="10" width="15.77734375" customWidth="1"/>
    <col min="11" max="11" width="21.77734375" style="5" bestFit="1" customWidth="1"/>
    <col min="12" max="12" width="16.44140625" bestFit="1" customWidth="1"/>
    <col min="13" max="13" width="12.21875" bestFit="1" customWidth="1"/>
    <col min="14" max="14" width="15.88671875" style="5" bestFit="1" customWidth="1"/>
    <col min="15" max="15" width="26.5546875" style="5" bestFit="1" customWidth="1"/>
    <col min="16" max="16" width="26.5546875" style="5" customWidth="1"/>
    <col min="17" max="17" width="18" bestFit="1" customWidth="1"/>
    <col min="18" max="18" width="22.5546875" bestFit="1" customWidth="1"/>
    <col min="19" max="19" width="10.21875" bestFit="1" customWidth="1"/>
    <col min="20" max="20" width="15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299</v>
      </c>
      <c r="H1" t="s">
        <v>300</v>
      </c>
      <c r="I1" t="s">
        <v>301</v>
      </c>
      <c r="J1" t="s">
        <v>306</v>
      </c>
      <c r="K1" s="5" t="s">
        <v>6</v>
      </c>
      <c r="L1" t="s">
        <v>7</v>
      </c>
      <c r="M1" t="s">
        <v>8</v>
      </c>
      <c r="N1" s="5" t="s">
        <v>9</v>
      </c>
      <c r="O1" s="5" t="s">
        <v>302</v>
      </c>
      <c r="P1" s="5" t="s">
        <v>303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tr">
        <f t="shared" ref="G2:G33" si="0">TEXT(DATE(2011,F2,1),"mmm")</f>
        <v>Jan</v>
      </c>
      <c r="H2">
        <f t="shared" ref="H2:H33" si="1">2016+INT((ROW(F2)-2)/12)</f>
        <v>2016</v>
      </c>
      <c r="I2" t="str">
        <f t="shared" ref="I2:I33" si="2">TEXT(EDATE(DATE(2016,1,1),ROW(G2)-2),"mmm-yyyy")</f>
        <v>Jan-2016</v>
      </c>
      <c r="J2" t="str">
        <f t="shared" ref="J2:J33" si="3">"Q"&amp;ROUNDUP(MONTH(DATEVALUE("1-"&amp;I2))/3,0)</f>
        <v>Q1</v>
      </c>
      <c r="K2" s="5">
        <v>17852</v>
      </c>
      <c r="L2">
        <v>61121</v>
      </c>
      <c r="M2">
        <v>172</v>
      </c>
      <c r="N2" s="5">
        <v>105211</v>
      </c>
      <c r="Q2">
        <v>66</v>
      </c>
      <c r="R2">
        <v>90</v>
      </c>
      <c r="S2" t="s">
        <v>19</v>
      </c>
      <c r="T2" t="s">
        <v>20</v>
      </c>
    </row>
    <row r="3" spans="1:20" x14ac:dyDescent="0.3">
      <c r="A3" t="s">
        <v>21</v>
      </c>
      <c r="B3" t="s">
        <v>15</v>
      </c>
      <c r="C3" t="s">
        <v>16</v>
      </c>
      <c r="D3" t="s">
        <v>17</v>
      </c>
      <c r="E3" t="s">
        <v>18</v>
      </c>
      <c r="F3">
        <v>2</v>
      </c>
      <c r="G3" t="str">
        <f t="shared" si="0"/>
        <v>Feb</v>
      </c>
      <c r="H3">
        <f t="shared" si="1"/>
        <v>2016</v>
      </c>
      <c r="I3" t="str">
        <f t="shared" si="2"/>
        <v>Feb-2016</v>
      </c>
      <c r="J3" t="str">
        <f t="shared" si="3"/>
        <v>Q1</v>
      </c>
      <c r="K3" s="5">
        <v>11631</v>
      </c>
      <c r="L3">
        <v>43835</v>
      </c>
      <c r="M3">
        <v>90</v>
      </c>
      <c r="N3" s="5">
        <v>74908</v>
      </c>
      <c r="Q3">
        <v>52</v>
      </c>
      <c r="R3">
        <v>82</v>
      </c>
      <c r="S3" t="s">
        <v>19</v>
      </c>
      <c r="T3" t="s">
        <v>22</v>
      </c>
    </row>
    <row r="4" spans="1:20" x14ac:dyDescent="0.3">
      <c r="A4" t="s">
        <v>23</v>
      </c>
      <c r="B4" t="s">
        <v>24</v>
      </c>
      <c r="C4" t="s">
        <v>25</v>
      </c>
      <c r="D4" t="s">
        <v>17</v>
      </c>
      <c r="E4" t="s">
        <v>18</v>
      </c>
      <c r="F4">
        <v>3</v>
      </c>
      <c r="G4" t="str">
        <f t="shared" si="0"/>
        <v>Mar</v>
      </c>
      <c r="H4">
        <f t="shared" si="1"/>
        <v>2016</v>
      </c>
      <c r="I4" t="str">
        <f t="shared" si="2"/>
        <v>Mar-2016</v>
      </c>
      <c r="J4" t="str">
        <f t="shared" si="3"/>
        <v>Q1</v>
      </c>
      <c r="K4" s="5">
        <v>21438</v>
      </c>
      <c r="L4">
        <v>70512</v>
      </c>
      <c r="M4">
        <v>147</v>
      </c>
      <c r="N4" s="5">
        <v>138323</v>
      </c>
      <c r="O4" s="5">
        <f>AVERAGE(N2:N4)</f>
        <v>106147.33333333333</v>
      </c>
      <c r="Q4">
        <v>90</v>
      </c>
      <c r="R4">
        <v>77</v>
      </c>
      <c r="S4" t="s">
        <v>19</v>
      </c>
      <c r="T4" t="s">
        <v>20</v>
      </c>
    </row>
    <row r="5" spans="1:20" x14ac:dyDescent="0.3">
      <c r="A5" t="s">
        <v>26</v>
      </c>
      <c r="B5" t="s">
        <v>24</v>
      </c>
      <c r="C5" t="s">
        <v>16</v>
      </c>
      <c r="D5" t="s">
        <v>27</v>
      </c>
      <c r="E5" t="s">
        <v>28</v>
      </c>
      <c r="F5">
        <v>4</v>
      </c>
      <c r="G5" t="str">
        <f t="shared" si="0"/>
        <v>Apr</v>
      </c>
      <c r="H5">
        <f t="shared" si="1"/>
        <v>2016</v>
      </c>
      <c r="I5" t="str">
        <f t="shared" si="2"/>
        <v>Apr-2016</v>
      </c>
      <c r="J5" t="str">
        <f t="shared" si="3"/>
        <v>Q2</v>
      </c>
      <c r="K5" s="5">
        <v>27368</v>
      </c>
      <c r="L5">
        <v>89221</v>
      </c>
      <c r="M5">
        <v>110</v>
      </c>
      <c r="N5" s="5">
        <v>153419</v>
      </c>
      <c r="O5" s="5">
        <f t="shared" ref="O5:O68" si="4">AVERAGE(N3:N5)</f>
        <v>122216.66666666667</v>
      </c>
      <c r="P5" s="5">
        <f>AVERAGE(N2:N5)</f>
        <v>117965.25</v>
      </c>
      <c r="Q5">
        <v>104</v>
      </c>
      <c r="R5">
        <v>66</v>
      </c>
      <c r="S5" t="s">
        <v>29</v>
      </c>
      <c r="T5" t="s">
        <v>22</v>
      </c>
    </row>
    <row r="6" spans="1:20" x14ac:dyDescent="0.3">
      <c r="A6" t="s">
        <v>30</v>
      </c>
      <c r="B6" t="s">
        <v>31</v>
      </c>
      <c r="C6" t="s">
        <v>16</v>
      </c>
      <c r="D6" t="s">
        <v>17</v>
      </c>
      <c r="E6" t="s">
        <v>28</v>
      </c>
      <c r="F6">
        <v>5</v>
      </c>
      <c r="G6" t="str">
        <f t="shared" si="0"/>
        <v>May</v>
      </c>
      <c r="H6">
        <f t="shared" si="1"/>
        <v>2016</v>
      </c>
      <c r="I6" t="str">
        <f t="shared" si="2"/>
        <v>May-2016</v>
      </c>
      <c r="J6" t="str">
        <f t="shared" si="3"/>
        <v>Q2</v>
      </c>
      <c r="K6" s="5">
        <v>20764</v>
      </c>
      <c r="L6">
        <v>67665</v>
      </c>
      <c r="M6">
        <v>82</v>
      </c>
      <c r="N6" s="5">
        <v>108379</v>
      </c>
      <c r="O6" s="5">
        <f t="shared" si="4"/>
        <v>133373.66666666666</v>
      </c>
      <c r="P6" s="5">
        <f t="shared" ref="P6:P69" si="5">AVERAGE(N3:N6)</f>
        <v>118757.25</v>
      </c>
      <c r="Q6">
        <v>77</v>
      </c>
      <c r="R6">
        <v>97</v>
      </c>
      <c r="S6" t="s">
        <v>19</v>
      </c>
      <c r="T6" t="s">
        <v>22</v>
      </c>
    </row>
    <row r="7" spans="1:20" x14ac:dyDescent="0.3">
      <c r="A7" t="s">
        <v>32</v>
      </c>
      <c r="B7" t="s">
        <v>33</v>
      </c>
      <c r="C7" t="s">
        <v>34</v>
      </c>
      <c r="D7" t="s">
        <v>17</v>
      </c>
      <c r="E7" t="s">
        <v>18</v>
      </c>
      <c r="F7">
        <v>6</v>
      </c>
      <c r="G7" t="str">
        <f t="shared" si="0"/>
        <v>Jun</v>
      </c>
      <c r="H7">
        <f t="shared" si="1"/>
        <v>2016</v>
      </c>
      <c r="I7" t="str">
        <f t="shared" si="2"/>
        <v>Jun-2016</v>
      </c>
      <c r="J7" t="str">
        <f t="shared" si="3"/>
        <v>Q2</v>
      </c>
      <c r="K7" s="5">
        <v>27166</v>
      </c>
      <c r="L7">
        <v>92366</v>
      </c>
      <c r="M7">
        <v>41</v>
      </c>
      <c r="N7" s="5">
        <v>150281</v>
      </c>
      <c r="O7" s="5">
        <f t="shared" si="4"/>
        <v>137359.66666666666</v>
      </c>
      <c r="P7" s="5">
        <f t="shared" si="5"/>
        <v>137600.5</v>
      </c>
      <c r="Q7">
        <v>92</v>
      </c>
      <c r="R7">
        <v>98</v>
      </c>
      <c r="S7" t="s">
        <v>19</v>
      </c>
      <c r="T7" t="s">
        <v>22</v>
      </c>
    </row>
    <row r="8" spans="1:20" x14ac:dyDescent="0.3">
      <c r="A8" t="s">
        <v>35</v>
      </c>
      <c r="B8" t="s">
        <v>15</v>
      </c>
      <c r="C8" t="s">
        <v>25</v>
      </c>
      <c r="D8" t="s">
        <v>17</v>
      </c>
      <c r="E8" t="s">
        <v>28</v>
      </c>
      <c r="F8">
        <v>7</v>
      </c>
      <c r="G8" t="str">
        <f t="shared" si="0"/>
        <v>Jul</v>
      </c>
      <c r="H8">
        <f t="shared" si="1"/>
        <v>2016</v>
      </c>
      <c r="I8" t="str">
        <f t="shared" si="2"/>
        <v>Jul-2016</v>
      </c>
      <c r="J8" t="str">
        <f t="shared" si="3"/>
        <v>Q3</v>
      </c>
      <c r="K8" s="5">
        <v>12700</v>
      </c>
      <c r="L8">
        <v>50059</v>
      </c>
      <c r="M8">
        <v>123</v>
      </c>
      <c r="N8" s="5">
        <v>80365</v>
      </c>
      <c r="O8" s="5">
        <f t="shared" si="4"/>
        <v>113008.33333333333</v>
      </c>
      <c r="P8" s="5">
        <f t="shared" si="5"/>
        <v>123111</v>
      </c>
      <c r="Q8">
        <v>60</v>
      </c>
      <c r="R8">
        <v>99</v>
      </c>
      <c r="S8" t="s">
        <v>19</v>
      </c>
      <c r="T8" t="s">
        <v>20</v>
      </c>
    </row>
    <row r="9" spans="1:20" x14ac:dyDescent="0.3">
      <c r="A9" t="s">
        <v>36</v>
      </c>
      <c r="B9" t="s">
        <v>33</v>
      </c>
      <c r="C9" t="s">
        <v>16</v>
      </c>
      <c r="D9" t="s">
        <v>27</v>
      </c>
      <c r="E9" t="s">
        <v>18</v>
      </c>
      <c r="F9">
        <v>8</v>
      </c>
      <c r="G9" t="str">
        <f t="shared" si="0"/>
        <v>Aug</v>
      </c>
      <c r="H9">
        <f t="shared" si="1"/>
        <v>2016</v>
      </c>
      <c r="I9" t="str">
        <f t="shared" si="2"/>
        <v>Aug-2016</v>
      </c>
      <c r="J9" t="str">
        <f t="shared" si="3"/>
        <v>Q3</v>
      </c>
      <c r="K9" s="5">
        <v>15694</v>
      </c>
      <c r="L9">
        <v>50102</v>
      </c>
      <c r="M9">
        <v>151</v>
      </c>
      <c r="N9" s="5">
        <v>103471</v>
      </c>
      <c r="O9" s="5">
        <f t="shared" si="4"/>
        <v>111372.33333333333</v>
      </c>
      <c r="P9" s="5">
        <f t="shared" si="5"/>
        <v>110624</v>
      </c>
      <c r="Q9">
        <v>75</v>
      </c>
      <c r="R9">
        <v>72</v>
      </c>
      <c r="S9" t="s">
        <v>19</v>
      </c>
      <c r="T9" t="s">
        <v>20</v>
      </c>
    </row>
    <row r="10" spans="1:20" x14ac:dyDescent="0.3">
      <c r="A10" t="s">
        <v>37</v>
      </c>
      <c r="B10" t="s">
        <v>33</v>
      </c>
      <c r="C10" t="s">
        <v>38</v>
      </c>
      <c r="D10" t="s">
        <v>17</v>
      </c>
      <c r="E10" t="s">
        <v>18</v>
      </c>
      <c r="F10">
        <v>9</v>
      </c>
      <c r="G10" t="str">
        <f t="shared" si="0"/>
        <v>Sep</v>
      </c>
      <c r="H10">
        <f t="shared" si="1"/>
        <v>2016</v>
      </c>
      <c r="I10" t="str">
        <f t="shared" si="2"/>
        <v>Sep-2016</v>
      </c>
      <c r="J10" t="str">
        <f t="shared" si="3"/>
        <v>Q3</v>
      </c>
      <c r="K10" s="5">
        <v>19444</v>
      </c>
      <c r="L10">
        <v>70233</v>
      </c>
      <c r="M10">
        <v>150</v>
      </c>
      <c r="N10" s="5">
        <v>127323</v>
      </c>
      <c r="O10" s="5">
        <f t="shared" si="4"/>
        <v>103719.66666666667</v>
      </c>
      <c r="P10" s="5">
        <f t="shared" si="5"/>
        <v>115360</v>
      </c>
      <c r="Q10">
        <v>85</v>
      </c>
      <c r="R10">
        <v>72</v>
      </c>
      <c r="S10" t="s">
        <v>19</v>
      </c>
      <c r="T10" t="s">
        <v>20</v>
      </c>
    </row>
    <row r="11" spans="1:20" x14ac:dyDescent="0.3">
      <c r="A11" t="s">
        <v>39</v>
      </c>
      <c r="B11" t="s">
        <v>24</v>
      </c>
      <c r="C11" t="s">
        <v>38</v>
      </c>
      <c r="D11" t="s">
        <v>27</v>
      </c>
      <c r="E11" t="s">
        <v>18</v>
      </c>
      <c r="F11">
        <v>10</v>
      </c>
      <c r="G11" t="str">
        <f t="shared" si="0"/>
        <v>Oct</v>
      </c>
      <c r="H11">
        <f t="shared" si="1"/>
        <v>2016</v>
      </c>
      <c r="I11" t="str">
        <f t="shared" si="2"/>
        <v>Oct-2016</v>
      </c>
      <c r="J11" t="str">
        <f t="shared" si="3"/>
        <v>Q4</v>
      </c>
      <c r="K11" s="5">
        <v>18349</v>
      </c>
      <c r="L11">
        <v>65925</v>
      </c>
      <c r="M11">
        <v>89</v>
      </c>
      <c r="N11" s="5">
        <v>108347</v>
      </c>
      <c r="O11" s="5">
        <f t="shared" si="4"/>
        <v>113047</v>
      </c>
      <c r="P11" s="5">
        <f t="shared" si="5"/>
        <v>104876.5</v>
      </c>
      <c r="Q11">
        <v>71</v>
      </c>
      <c r="R11">
        <v>75</v>
      </c>
      <c r="S11" t="s">
        <v>19</v>
      </c>
      <c r="T11" t="s">
        <v>22</v>
      </c>
    </row>
    <row r="12" spans="1:20" x14ac:dyDescent="0.3">
      <c r="A12" t="s">
        <v>40</v>
      </c>
      <c r="B12" t="s">
        <v>33</v>
      </c>
      <c r="C12" t="s">
        <v>38</v>
      </c>
      <c r="D12" t="s">
        <v>17</v>
      </c>
      <c r="E12" t="s">
        <v>18</v>
      </c>
      <c r="F12">
        <v>11</v>
      </c>
      <c r="G12" t="str">
        <f t="shared" si="0"/>
        <v>Nov</v>
      </c>
      <c r="H12">
        <f t="shared" si="1"/>
        <v>2016</v>
      </c>
      <c r="I12" t="str">
        <f t="shared" si="2"/>
        <v>Nov-2016</v>
      </c>
      <c r="J12" t="str">
        <f t="shared" si="3"/>
        <v>Q4</v>
      </c>
      <c r="K12" s="5">
        <v>5874</v>
      </c>
      <c r="L12">
        <v>28593</v>
      </c>
      <c r="M12">
        <v>89</v>
      </c>
      <c r="N12" s="5">
        <v>62422</v>
      </c>
      <c r="O12" s="5">
        <f t="shared" si="4"/>
        <v>99364</v>
      </c>
      <c r="P12" s="5">
        <f t="shared" si="5"/>
        <v>100390.75</v>
      </c>
      <c r="Q12">
        <v>48</v>
      </c>
      <c r="R12">
        <v>94</v>
      </c>
      <c r="S12" t="s">
        <v>19</v>
      </c>
      <c r="T12" t="s">
        <v>20</v>
      </c>
    </row>
    <row r="13" spans="1:20" x14ac:dyDescent="0.3">
      <c r="A13" t="s">
        <v>41</v>
      </c>
      <c r="B13" t="s">
        <v>15</v>
      </c>
      <c r="C13" t="s">
        <v>25</v>
      </c>
      <c r="D13" t="s">
        <v>27</v>
      </c>
      <c r="E13" t="s">
        <v>18</v>
      </c>
      <c r="F13">
        <v>12</v>
      </c>
      <c r="G13" t="str">
        <f t="shared" si="0"/>
        <v>Dec</v>
      </c>
      <c r="H13">
        <f t="shared" si="1"/>
        <v>2016</v>
      </c>
      <c r="I13" t="str">
        <f t="shared" si="2"/>
        <v>Dec-2016</v>
      </c>
      <c r="J13" t="str">
        <f t="shared" si="3"/>
        <v>Q4</v>
      </c>
      <c r="K13" s="5">
        <v>20102</v>
      </c>
      <c r="L13">
        <v>68826</v>
      </c>
      <c r="M13">
        <v>104</v>
      </c>
      <c r="N13" s="5">
        <v>119350</v>
      </c>
      <c r="O13" s="5">
        <f t="shared" si="4"/>
        <v>96706.333333333328</v>
      </c>
      <c r="P13" s="5">
        <f t="shared" si="5"/>
        <v>104360.5</v>
      </c>
      <c r="Q13">
        <v>76</v>
      </c>
      <c r="R13">
        <v>72</v>
      </c>
      <c r="S13" t="s">
        <v>19</v>
      </c>
      <c r="T13" t="s">
        <v>22</v>
      </c>
    </row>
    <row r="14" spans="1:20" x14ac:dyDescent="0.3">
      <c r="A14" t="s">
        <v>42</v>
      </c>
      <c r="B14" t="s">
        <v>31</v>
      </c>
      <c r="C14" t="s">
        <v>38</v>
      </c>
      <c r="D14" t="s">
        <v>27</v>
      </c>
      <c r="E14" t="s">
        <v>28</v>
      </c>
      <c r="F14">
        <v>1</v>
      </c>
      <c r="G14" t="str">
        <f t="shared" si="0"/>
        <v>Jan</v>
      </c>
      <c r="H14">
        <f t="shared" si="1"/>
        <v>2017</v>
      </c>
      <c r="I14" t="str">
        <f t="shared" si="2"/>
        <v>Jan-2017</v>
      </c>
      <c r="J14" t="str">
        <f t="shared" si="3"/>
        <v>Q1</v>
      </c>
      <c r="K14" s="5">
        <v>12058</v>
      </c>
      <c r="L14">
        <v>43439</v>
      </c>
      <c r="M14">
        <v>69</v>
      </c>
      <c r="N14" s="5">
        <v>85353</v>
      </c>
      <c r="O14" s="5">
        <f t="shared" si="4"/>
        <v>89041.666666666672</v>
      </c>
      <c r="P14" s="5">
        <f t="shared" si="5"/>
        <v>93868</v>
      </c>
      <c r="Q14">
        <v>65</v>
      </c>
      <c r="R14">
        <v>69</v>
      </c>
      <c r="S14" t="s">
        <v>29</v>
      </c>
      <c r="T14" t="s">
        <v>22</v>
      </c>
    </row>
    <row r="15" spans="1:20" x14ac:dyDescent="0.3">
      <c r="A15" t="s">
        <v>43</v>
      </c>
      <c r="B15" t="s">
        <v>33</v>
      </c>
      <c r="C15" t="s">
        <v>34</v>
      </c>
      <c r="D15" t="s">
        <v>17</v>
      </c>
      <c r="E15" t="s">
        <v>28</v>
      </c>
      <c r="F15">
        <v>2</v>
      </c>
      <c r="G15" t="str">
        <f t="shared" si="0"/>
        <v>Feb</v>
      </c>
      <c r="H15">
        <f t="shared" si="1"/>
        <v>2017</v>
      </c>
      <c r="I15" t="str">
        <f t="shared" si="2"/>
        <v>Feb-2017</v>
      </c>
      <c r="J15" t="str">
        <f t="shared" si="3"/>
        <v>Q1</v>
      </c>
      <c r="K15" s="5">
        <v>24890</v>
      </c>
      <c r="L15">
        <v>82117</v>
      </c>
      <c r="M15">
        <v>91</v>
      </c>
      <c r="N15" s="5">
        <v>145118</v>
      </c>
      <c r="O15" s="5">
        <f t="shared" si="4"/>
        <v>116607</v>
      </c>
      <c r="P15" s="5">
        <f t="shared" si="5"/>
        <v>103060.75</v>
      </c>
      <c r="Q15">
        <v>87</v>
      </c>
      <c r="R15">
        <v>86</v>
      </c>
      <c r="S15" t="s">
        <v>19</v>
      </c>
      <c r="T15" t="s">
        <v>20</v>
      </c>
    </row>
    <row r="16" spans="1:20" x14ac:dyDescent="0.3">
      <c r="A16" t="s">
        <v>44</v>
      </c>
      <c r="B16" t="s">
        <v>31</v>
      </c>
      <c r="C16" t="s">
        <v>25</v>
      </c>
      <c r="D16" t="s">
        <v>17</v>
      </c>
      <c r="E16" t="s">
        <v>28</v>
      </c>
      <c r="F16">
        <v>3</v>
      </c>
      <c r="G16" t="str">
        <f t="shared" si="0"/>
        <v>Mar</v>
      </c>
      <c r="H16">
        <f t="shared" si="1"/>
        <v>2017</v>
      </c>
      <c r="I16" t="str">
        <f t="shared" si="2"/>
        <v>Mar-2017</v>
      </c>
      <c r="J16" t="str">
        <f t="shared" si="3"/>
        <v>Q1</v>
      </c>
      <c r="K16" s="5">
        <v>16782</v>
      </c>
      <c r="L16">
        <v>61417</v>
      </c>
      <c r="M16">
        <v>138</v>
      </c>
      <c r="N16" s="5">
        <v>93248</v>
      </c>
      <c r="O16" s="5">
        <f t="shared" si="4"/>
        <v>107906.33333333333</v>
      </c>
      <c r="P16" s="5">
        <f t="shared" si="5"/>
        <v>110767.25</v>
      </c>
      <c r="Q16">
        <v>63</v>
      </c>
      <c r="R16">
        <v>82</v>
      </c>
      <c r="S16" t="s">
        <v>19</v>
      </c>
      <c r="T16" t="s">
        <v>22</v>
      </c>
    </row>
    <row r="17" spans="1:20" x14ac:dyDescent="0.3">
      <c r="A17" t="s">
        <v>45</v>
      </c>
      <c r="B17" t="s">
        <v>33</v>
      </c>
      <c r="C17" t="s">
        <v>38</v>
      </c>
      <c r="D17" t="s">
        <v>27</v>
      </c>
      <c r="E17" t="s">
        <v>28</v>
      </c>
      <c r="F17">
        <v>4</v>
      </c>
      <c r="G17" t="str">
        <f t="shared" si="0"/>
        <v>Apr</v>
      </c>
      <c r="H17">
        <f t="shared" si="1"/>
        <v>2017</v>
      </c>
      <c r="I17" t="str">
        <f t="shared" si="2"/>
        <v>Apr-2017</v>
      </c>
      <c r="J17" t="str">
        <f t="shared" si="3"/>
        <v>Q2</v>
      </c>
      <c r="K17" s="5">
        <v>17029</v>
      </c>
      <c r="L17">
        <v>53986</v>
      </c>
      <c r="M17">
        <v>140</v>
      </c>
      <c r="N17" s="5">
        <v>99669</v>
      </c>
      <c r="O17" s="5">
        <f t="shared" si="4"/>
        <v>112678.33333333333</v>
      </c>
      <c r="P17" s="5">
        <f t="shared" si="5"/>
        <v>105847</v>
      </c>
      <c r="Q17">
        <v>74</v>
      </c>
      <c r="R17">
        <v>100</v>
      </c>
      <c r="S17" t="s">
        <v>19</v>
      </c>
      <c r="T17" t="s">
        <v>20</v>
      </c>
    </row>
    <row r="18" spans="1:20" x14ac:dyDescent="0.3">
      <c r="A18" t="s">
        <v>46</v>
      </c>
      <c r="B18" t="s">
        <v>31</v>
      </c>
      <c r="C18" t="s">
        <v>34</v>
      </c>
      <c r="D18" t="s">
        <v>27</v>
      </c>
      <c r="E18" t="s">
        <v>28</v>
      </c>
      <c r="F18">
        <v>5</v>
      </c>
      <c r="G18" t="str">
        <f t="shared" si="0"/>
        <v>May</v>
      </c>
      <c r="H18">
        <f t="shared" si="1"/>
        <v>2017</v>
      </c>
      <c r="I18" t="str">
        <f t="shared" si="2"/>
        <v>May-2017</v>
      </c>
      <c r="J18" t="str">
        <f t="shared" si="3"/>
        <v>Q2</v>
      </c>
      <c r="K18" s="5">
        <v>21851</v>
      </c>
      <c r="L18">
        <v>77081</v>
      </c>
      <c r="M18">
        <v>150</v>
      </c>
      <c r="N18" s="5">
        <v>144689</v>
      </c>
      <c r="O18" s="5">
        <f t="shared" si="4"/>
        <v>112535.33333333333</v>
      </c>
      <c r="P18" s="5">
        <f t="shared" si="5"/>
        <v>120681</v>
      </c>
      <c r="Q18">
        <v>95</v>
      </c>
      <c r="R18">
        <v>89</v>
      </c>
      <c r="S18" t="s">
        <v>19</v>
      </c>
      <c r="T18" t="s">
        <v>20</v>
      </c>
    </row>
    <row r="19" spans="1:20" x14ac:dyDescent="0.3">
      <c r="A19" t="s">
        <v>47</v>
      </c>
      <c r="B19" t="s">
        <v>24</v>
      </c>
      <c r="C19" t="s">
        <v>34</v>
      </c>
      <c r="D19" t="s">
        <v>17</v>
      </c>
      <c r="E19" t="s">
        <v>28</v>
      </c>
      <c r="F19">
        <v>6</v>
      </c>
      <c r="G19" t="str">
        <f t="shared" si="0"/>
        <v>Jun</v>
      </c>
      <c r="H19">
        <f t="shared" si="1"/>
        <v>2017</v>
      </c>
      <c r="I19" t="str">
        <f t="shared" si="2"/>
        <v>Jun-2017</v>
      </c>
      <c r="J19" t="str">
        <f t="shared" si="3"/>
        <v>Q2</v>
      </c>
      <c r="K19" s="5">
        <v>9617</v>
      </c>
      <c r="L19">
        <v>33337</v>
      </c>
      <c r="M19">
        <v>125</v>
      </c>
      <c r="N19" s="5">
        <v>63367</v>
      </c>
      <c r="O19" s="5">
        <f t="shared" si="4"/>
        <v>102575</v>
      </c>
      <c r="P19" s="5">
        <f t="shared" si="5"/>
        <v>100243.25</v>
      </c>
      <c r="Q19">
        <v>52</v>
      </c>
      <c r="R19">
        <v>88</v>
      </c>
      <c r="S19" t="s">
        <v>19</v>
      </c>
      <c r="T19" t="s">
        <v>20</v>
      </c>
    </row>
    <row r="20" spans="1:20" x14ac:dyDescent="0.3">
      <c r="A20" t="s">
        <v>48</v>
      </c>
      <c r="B20" t="s">
        <v>31</v>
      </c>
      <c r="C20" t="s">
        <v>16</v>
      </c>
      <c r="D20" t="s">
        <v>27</v>
      </c>
      <c r="E20" t="s">
        <v>28</v>
      </c>
      <c r="F20">
        <v>7</v>
      </c>
      <c r="G20" t="str">
        <f t="shared" si="0"/>
        <v>Jul</v>
      </c>
      <c r="H20">
        <f t="shared" si="1"/>
        <v>2017</v>
      </c>
      <c r="I20" t="str">
        <f t="shared" si="2"/>
        <v>Jul-2017</v>
      </c>
      <c r="J20" t="str">
        <f t="shared" si="3"/>
        <v>Q3</v>
      </c>
      <c r="K20" s="5">
        <v>25214</v>
      </c>
      <c r="L20">
        <v>78527</v>
      </c>
      <c r="M20">
        <v>138</v>
      </c>
      <c r="N20" s="5">
        <v>153371</v>
      </c>
      <c r="O20" s="5">
        <f t="shared" si="4"/>
        <v>120475.66666666667</v>
      </c>
      <c r="P20" s="5">
        <f t="shared" si="5"/>
        <v>115274</v>
      </c>
      <c r="Q20">
        <v>93</v>
      </c>
      <c r="R20">
        <v>85</v>
      </c>
      <c r="S20" t="s">
        <v>19</v>
      </c>
      <c r="T20" t="s">
        <v>22</v>
      </c>
    </row>
    <row r="21" spans="1:20" x14ac:dyDescent="0.3">
      <c r="A21" t="s">
        <v>49</v>
      </c>
      <c r="B21" t="s">
        <v>24</v>
      </c>
      <c r="C21" t="s">
        <v>16</v>
      </c>
      <c r="D21" t="s">
        <v>27</v>
      </c>
      <c r="E21" t="s">
        <v>18</v>
      </c>
      <c r="F21">
        <v>8</v>
      </c>
      <c r="G21" t="str">
        <f t="shared" si="0"/>
        <v>Aug</v>
      </c>
      <c r="H21">
        <f t="shared" si="1"/>
        <v>2017</v>
      </c>
      <c r="I21" t="str">
        <f t="shared" si="2"/>
        <v>Aug-2017</v>
      </c>
      <c r="J21" t="str">
        <f t="shared" si="3"/>
        <v>Q3</v>
      </c>
      <c r="K21" s="5">
        <v>25299</v>
      </c>
      <c r="L21">
        <v>81388</v>
      </c>
      <c r="M21">
        <v>46</v>
      </c>
      <c r="N21" s="5">
        <v>145224</v>
      </c>
      <c r="O21" s="5">
        <f t="shared" si="4"/>
        <v>120654</v>
      </c>
      <c r="P21" s="5">
        <f t="shared" si="5"/>
        <v>126662.75</v>
      </c>
      <c r="Q21">
        <v>86</v>
      </c>
      <c r="R21">
        <v>91</v>
      </c>
      <c r="S21" t="s">
        <v>19</v>
      </c>
      <c r="T21" t="s">
        <v>22</v>
      </c>
    </row>
    <row r="22" spans="1:20" x14ac:dyDescent="0.3">
      <c r="A22" t="s">
        <v>50</v>
      </c>
      <c r="B22" t="s">
        <v>15</v>
      </c>
      <c r="C22" t="s">
        <v>34</v>
      </c>
      <c r="D22" t="s">
        <v>17</v>
      </c>
      <c r="E22" t="s">
        <v>18</v>
      </c>
      <c r="F22">
        <v>9</v>
      </c>
      <c r="G22" t="str">
        <f t="shared" si="0"/>
        <v>Sep</v>
      </c>
      <c r="H22">
        <f t="shared" si="1"/>
        <v>2017</v>
      </c>
      <c r="I22" t="str">
        <f t="shared" si="2"/>
        <v>Sep-2017</v>
      </c>
      <c r="J22" t="str">
        <f t="shared" si="3"/>
        <v>Q3</v>
      </c>
      <c r="K22" s="5">
        <v>9290</v>
      </c>
      <c r="L22">
        <v>36689</v>
      </c>
      <c r="M22">
        <v>55</v>
      </c>
      <c r="N22" s="5">
        <v>49617</v>
      </c>
      <c r="O22" s="5">
        <f t="shared" si="4"/>
        <v>116070.66666666667</v>
      </c>
      <c r="P22" s="5">
        <f t="shared" si="5"/>
        <v>102894.75</v>
      </c>
      <c r="Q22">
        <v>38</v>
      </c>
      <c r="R22">
        <v>88</v>
      </c>
      <c r="S22" t="s">
        <v>19</v>
      </c>
      <c r="T22" t="s">
        <v>22</v>
      </c>
    </row>
    <row r="23" spans="1:20" x14ac:dyDescent="0.3">
      <c r="A23" t="s">
        <v>51</v>
      </c>
      <c r="B23" t="s">
        <v>24</v>
      </c>
      <c r="C23" t="s">
        <v>16</v>
      </c>
      <c r="D23" t="s">
        <v>17</v>
      </c>
      <c r="E23" t="s">
        <v>28</v>
      </c>
      <c r="F23">
        <v>10</v>
      </c>
      <c r="G23" t="str">
        <f t="shared" si="0"/>
        <v>Oct</v>
      </c>
      <c r="H23">
        <f t="shared" si="1"/>
        <v>2017</v>
      </c>
      <c r="I23" t="str">
        <f t="shared" si="2"/>
        <v>Oct-2017</v>
      </c>
      <c r="J23" t="str">
        <f t="shared" si="3"/>
        <v>Q4</v>
      </c>
      <c r="K23" s="5">
        <v>27512</v>
      </c>
      <c r="L23">
        <v>86111</v>
      </c>
      <c r="M23">
        <v>75</v>
      </c>
      <c r="N23" s="5">
        <v>132277</v>
      </c>
      <c r="O23" s="5">
        <f t="shared" si="4"/>
        <v>109039.33333333333</v>
      </c>
      <c r="P23" s="5">
        <f t="shared" si="5"/>
        <v>120122.25</v>
      </c>
      <c r="Q23">
        <v>89</v>
      </c>
      <c r="R23">
        <v>76</v>
      </c>
      <c r="S23" t="s">
        <v>19</v>
      </c>
      <c r="T23" t="s">
        <v>22</v>
      </c>
    </row>
    <row r="24" spans="1:20" x14ac:dyDescent="0.3">
      <c r="A24" t="s">
        <v>52</v>
      </c>
      <c r="B24" t="s">
        <v>31</v>
      </c>
      <c r="C24" t="s">
        <v>38</v>
      </c>
      <c r="D24" t="s">
        <v>27</v>
      </c>
      <c r="E24" t="s">
        <v>28</v>
      </c>
      <c r="F24">
        <v>11</v>
      </c>
      <c r="G24" t="str">
        <f t="shared" si="0"/>
        <v>Nov</v>
      </c>
      <c r="H24">
        <f t="shared" si="1"/>
        <v>2017</v>
      </c>
      <c r="I24" t="str">
        <f t="shared" si="2"/>
        <v>Nov-2017</v>
      </c>
      <c r="J24" t="str">
        <f t="shared" si="3"/>
        <v>Q4</v>
      </c>
      <c r="K24" s="5">
        <v>24197</v>
      </c>
      <c r="L24">
        <v>82687</v>
      </c>
      <c r="M24">
        <v>94</v>
      </c>
      <c r="N24" s="5">
        <v>148707</v>
      </c>
      <c r="O24" s="5">
        <f t="shared" si="4"/>
        <v>110200.33333333333</v>
      </c>
      <c r="P24" s="5">
        <f t="shared" si="5"/>
        <v>118956.25</v>
      </c>
      <c r="Q24">
        <v>98</v>
      </c>
      <c r="R24">
        <v>97</v>
      </c>
      <c r="S24" t="s">
        <v>19</v>
      </c>
      <c r="T24" t="s">
        <v>22</v>
      </c>
    </row>
    <row r="25" spans="1:20" x14ac:dyDescent="0.3">
      <c r="A25" t="s">
        <v>53</v>
      </c>
      <c r="B25" t="s">
        <v>24</v>
      </c>
      <c r="C25" t="s">
        <v>25</v>
      </c>
      <c r="D25" t="s">
        <v>17</v>
      </c>
      <c r="E25" t="s">
        <v>28</v>
      </c>
      <c r="F25">
        <v>12</v>
      </c>
      <c r="G25" t="str">
        <f t="shared" si="0"/>
        <v>Dec</v>
      </c>
      <c r="H25">
        <f t="shared" si="1"/>
        <v>2017</v>
      </c>
      <c r="I25" t="str">
        <f t="shared" si="2"/>
        <v>Dec-2017</v>
      </c>
      <c r="J25" t="str">
        <f t="shared" si="3"/>
        <v>Q4</v>
      </c>
      <c r="K25" s="5">
        <v>6264</v>
      </c>
      <c r="L25">
        <v>25845</v>
      </c>
      <c r="M25">
        <v>101</v>
      </c>
      <c r="N25" s="5">
        <v>34438</v>
      </c>
      <c r="O25" s="5">
        <f t="shared" si="4"/>
        <v>105140.66666666667</v>
      </c>
      <c r="P25" s="5">
        <f t="shared" si="5"/>
        <v>91259.75</v>
      </c>
      <c r="Q25">
        <v>36</v>
      </c>
      <c r="R25">
        <v>78</v>
      </c>
      <c r="S25" t="s">
        <v>19</v>
      </c>
      <c r="T25" t="s">
        <v>20</v>
      </c>
    </row>
    <row r="26" spans="1:20" x14ac:dyDescent="0.3">
      <c r="A26" t="s">
        <v>54</v>
      </c>
      <c r="B26" t="s">
        <v>15</v>
      </c>
      <c r="C26" t="s">
        <v>38</v>
      </c>
      <c r="D26" t="s">
        <v>17</v>
      </c>
      <c r="E26" t="s">
        <v>28</v>
      </c>
      <c r="F26">
        <v>1</v>
      </c>
      <c r="G26" t="str">
        <f t="shared" si="0"/>
        <v>Jan</v>
      </c>
      <c r="H26">
        <f t="shared" si="1"/>
        <v>2018</v>
      </c>
      <c r="I26" t="str">
        <f t="shared" si="2"/>
        <v>Jan-2018</v>
      </c>
      <c r="J26" t="str">
        <f t="shared" si="3"/>
        <v>Q1</v>
      </c>
      <c r="K26" s="5">
        <v>6194</v>
      </c>
      <c r="L26">
        <v>26320</v>
      </c>
      <c r="M26">
        <v>138</v>
      </c>
      <c r="N26" s="5">
        <v>67595</v>
      </c>
      <c r="O26" s="5">
        <f t="shared" si="4"/>
        <v>83580</v>
      </c>
      <c r="P26" s="5">
        <f t="shared" si="5"/>
        <v>95754.25</v>
      </c>
      <c r="Q26">
        <v>55</v>
      </c>
      <c r="R26">
        <v>95</v>
      </c>
      <c r="S26" t="s">
        <v>19</v>
      </c>
      <c r="T26" t="s">
        <v>22</v>
      </c>
    </row>
    <row r="27" spans="1:20" x14ac:dyDescent="0.3">
      <c r="A27" t="s">
        <v>55</v>
      </c>
      <c r="B27" t="s">
        <v>15</v>
      </c>
      <c r="C27" t="s">
        <v>34</v>
      </c>
      <c r="D27" t="s">
        <v>27</v>
      </c>
      <c r="E27" t="s">
        <v>18</v>
      </c>
      <c r="F27">
        <v>2</v>
      </c>
      <c r="G27" t="str">
        <f t="shared" si="0"/>
        <v>Feb</v>
      </c>
      <c r="H27">
        <f t="shared" si="1"/>
        <v>2018</v>
      </c>
      <c r="I27" t="str">
        <f t="shared" si="2"/>
        <v>Feb-2018</v>
      </c>
      <c r="J27" t="str">
        <f t="shared" si="3"/>
        <v>Q1</v>
      </c>
      <c r="K27" s="5">
        <v>9038</v>
      </c>
      <c r="L27">
        <v>39113</v>
      </c>
      <c r="M27">
        <v>116</v>
      </c>
      <c r="N27" s="5">
        <v>53764</v>
      </c>
      <c r="O27" s="5">
        <f t="shared" si="4"/>
        <v>51932.333333333336</v>
      </c>
      <c r="P27" s="5">
        <f t="shared" si="5"/>
        <v>76126</v>
      </c>
      <c r="Q27">
        <v>35</v>
      </c>
      <c r="R27">
        <v>100</v>
      </c>
      <c r="S27" t="s">
        <v>19</v>
      </c>
      <c r="T27" t="s">
        <v>20</v>
      </c>
    </row>
    <row r="28" spans="1:20" x14ac:dyDescent="0.3">
      <c r="A28" t="s">
        <v>56</v>
      </c>
      <c r="B28" t="s">
        <v>15</v>
      </c>
      <c r="C28" t="s">
        <v>34</v>
      </c>
      <c r="D28" t="s">
        <v>27</v>
      </c>
      <c r="E28" t="s">
        <v>28</v>
      </c>
      <c r="F28">
        <v>3</v>
      </c>
      <c r="G28" t="str">
        <f t="shared" si="0"/>
        <v>Mar</v>
      </c>
      <c r="H28">
        <f t="shared" si="1"/>
        <v>2018</v>
      </c>
      <c r="I28" t="str">
        <f t="shared" si="2"/>
        <v>Mar-2018</v>
      </c>
      <c r="J28" t="str">
        <f t="shared" si="3"/>
        <v>Q1</v>
      </c>
      <c r="K28" s="5">
        <v>28215</v>
      </c>
      <c r="L28">
        <v>89290</v>
      </c>
      <c r="M28">
        <v>105</v>
      </c>
      <c r="N28" s="5">
        <v>144548</v>
      </c>
      <c r="O28" s="5">
        <f t="shared" si="4"/>
        <v>88635.666666666672</v>
      </c>
      <c r="P28" s="5">
        <f t="shared" si="5"/>
        <v>75086.25</v>
      </c>
      <c r="Q28">
        <v>85</v>
      </c>
      <c r="R28">
        <v>62</v>
      </c>
      <c r="S28" t="s">
        <v>29</v>
      </c>
      <c r="T28" t="s">
        <v>22</v>
      </c>
    </row>
    <row r="29" spans="1:20" x14ac:dyDescent="0.3">
      <c r="A29" t="s">
        <v>57</v>
      </c>
      <c r="B29" t="s">
        <v>33</v>
      </c>
      <c r="C29" t="s">
        <v>38</v>
      </c>
      <c r="D29" t="s">
        <v>17</v>
      </c>
      <c r="E29" t="s">
        <v>18</v>
      </c>
      <c r="F29">
        <v>4</v>
      </c>
      <c r="G29" t="str">
        <f t="shared" si="0"/>
        <v>Apr</v>
      </c>
      <c r="H29">
        <f t="shared" si="1"/>
        <v>2018</v>
      </c>
      <c r="I29" t="str">
        <f t="shared" si="2"/>
        <v>Apr-2018</v>
      </c>
      <c r="J29" t="str">
        <f t="shared" si="3"/>
        <v>Q2</v>
      </c>
      <c r="K29" s="5">
        <v>6824</v>
      </c>
      <c r="L29">
        <v>26703</v>
      </c>
      <c r="M29">
        <v>96</v>
      </c>
      <c r="N29" s="5">
        <v>59841</v>
      </c>
      <c r="O29" s="5">
        <f t="shared" si="4"/>
        <v>86051</v>
      </c>
      <c r="P29" s="5">
        <f t="shared" si="5"/>
        <v>81437</v>
      </c>
      <c r="Q29">
        <v>47</v>
      </c>
      <c r="R29">
        <v>74</v>
      </c>
      <c r="S29" t="s">
        <v>19</v>
      </c>
      <c r="T29" t="s">
        <v>22</v>
      </c>
    </row>
    <row r="30" spans="1:20" x14ac:dyDescent="0.3">
      <c r="A30" t="s">
        <v>58</v>
      </c>
      <c r="B30" t="s">
        <v>15</v>
      </c>
      <c r="C30" t="s">
        <v>34</v>
      </c>
      <c r="D30" t="s">
        <v>27</v>
      </c>
      <c r="E30" t="s">
        <v>28</v>
      </c>
      <c r="F30">
        <v>5</v>
      </c>
      <c r="G30" t="str">
        <f t="shared" si="0"/>
        <v>May</v>
      </c>
      <c r="H30">
        <f t="shared" si="1"/>
        <v>2018</v>
      </c>
      <c r="I30" t="str">
        <f t="shared" si="2"/>
        <v>May-2018</v>
      </c>
      <c r="J30" t="str">
        <f t="shared" si="3"/>
        <v>Q2</v>
      </c>
      <c r="K30" s="5">
        <v>16146</v>
      </c>
      <c r="L30">
        <v>57805</v>
      </c>
      <c r="M30">
        <v>89</v>
      </c>
      <c r="N30" s="5">
        <v>83919</v>
      </c>
      <c r="O30" s="5">
        <f t="shared" si="4"/>
        <v>96102.666666666672</v>
      </c>
      <c r="P30" s="5">
        <f t="shared" si="5"/>
        <v>85518</v>
      </c>
      <c r="Q30">
        <v>59</v>
      </c>
      <c r="R30">
        <v>97</v>
      </c>
      <c r="S30" t="s">
        <v>19</v>
      </c>
      <c r="T30" t="s">
        <v>22</v>
      </c>
    </row>
    <row r="31" spans="1:20" x14ac:dyDescent="0.3">
      <c r="A31" t="s">
        <v>59</v>
      </c>
      <c r="B31" t="s">
        <v>24</v>
      </c>
      <c r="C31" t="s">
        <v>34</v>
      </c>
      <c r="D31" t="s">
        <v>17</v>
      </c>
      <c r="E31" t="s">
        <v>28</v>
      </c>
      <c r="F31">
        <v>6</v>
      </c>
      <c r="G31" t="str">
        <f t="shared" si="0"/>
        <v>Jun</v>
      </c>
      <c r="H31">
        <f t="shared" si="1"/>
        <v>2018</v>
      </c>
      <c r="I31" t="str">
        <f t="shared" si="2"/>
        <v>Jun-2018</v>
      </c>
      <c r="J31" t="str">
        <f t="shared" si="3"/>
        <v>Q2</v>
      </c>
      <c r="K31" s="5">
        <v>12067</v>
      </c>
      <c r="L31">
        <v>41288</v>
      </c>
      <c r="M31">
        <v>180</v>
      </c>
      <c r="N31" s="5">
        <v>80935</v>
      </c>
      <c r="O31" s="5">
        <f t="shared" si="4"/>
        <v>74898.333333333328</v>
      </c>
      <c r="P31" s="5">
        <f t="shared" si="5"/>
        <v>92310.75</v>
      </c>
      <c r="Q31">
        <v>63</v>
      </c>
      <c r="R31">
        <v>74</v>
      </c>
      <c r="S31" t="s">
        <v>19</v>
      </c>
      <c r="T31" t="s">
        <v>22</v>
      </c>
    </row>
    <row r="32" spans="1:20" x14ac:dyDescent="0.3">
      <c r="A32" t="s">
        <v>60</v>
      </c>
      <c r="B32" t="s">
        <v>15</v>
      </c>
      <c r="C32" t="s">
        <v>25</v>
      </c>
      <c r="D32" t="s">
        <v>27</v>
      </c>
      <c r="E32" t="s">
        <v>18</v>
      </c>
      <c r="F32">
        <v>7</v>
      </c>
      <c r="G32" t="str">
        <f t="shared" si="0"/>
        <v>Jul</v>
      </c>
      <c r="H32">
        <f t="shared" si="1"/>
        <v>2018</v>
      </c>
      <c r="I32" t="str">
        <f t="shared" si="2"/>
        <v>Jul-2018</v>
      </c>
      <c r="J32" t="str">
        <f t="shared" si="3"/>
        <v>Q3</v>
      </c>
      <c r="K32" s="5">
        <v>24869</v>
      </c>
      <c r="L32">
        <v>86437</v>
      </c>
      <c r="M32">
        <v>94</v>
      </c>
      <c r="N32" s="5">
        <v>134309</v>
      </c>
      <c r="O32" s="5">
        <f t="shared" si="4"/>
        <v>99721</v>
      </c>
      <c r="P32" s="5">
        <f t="shared" si="5"/>
        <v>89751</v>
      </c>
      <c r="Q32">
        <v>90</v>
      </c>
      <c r="R32">
        <v>81</v>
      </c>
      <c r="S32" t="s">
        <v>19</v>
      </c>
      <c r="T32" t="s">
        <v>20</v>
      </c>
    </row>
    <row r="33" spans="1:20" x14ac:dyDescent="0.3">
      <c r="A33" t="s">
        <v>61</v>
      </c>
      <c r="B33" t="s">
        <v>31</v>
      </c>
      <c r="C33" t="s">
        <v>34</v>
      </c>
      <c r="D33" t="s">
        <v>27</v>
      </c>
      <c r="E33" t="s">
        <v>28</v>
      </c>
      <c r="F33">
        <v>8</v>
      </c>
      <c r="G33" t="str">
        <f t="shared" si="0"/>
        <v>Aug</v>
      </c>
      <c r="H33">
        <f t="shared" si="1"/>
        <v>2018</v>
      </c>
      <c r="I33" t="str">
        <f t="shared" si="2"/>
        <v>Aug-2018</v>
      </c>
      <c r="J33" t="str">
        <f t="shared" si="3"/>
        <v>Q3</v>
      </c>
      <c r="K33" s="5">
        <v>24770</v>
      </c>
      <c r="L33">
        <v>81015</v>
      </c>
      <c r="M33">
        <v>51</v>
      </c>
      <c r="N33" s="5">
        <v>141157</v>
      </c>
      <c r="O33" s="5">
        <f t="shared" si="4"/>
        <v>118800.33333333333</v>
      </c>
      <c r="P33" s="5">
        <f t="shared" si="5"/>
        <v>110080</v>
      </c>
      <c r="Q33">
        <v>87</v>
      </c>
      <c r="R33">
        <v>98</v>
      </c>
      <c r="S33" t="s">
        <v>19</v>
      </c>
      <c r="T33" t="s">
        <v>22</v>
      </c>
    </row>
    <row r="34" spans="1:20" x14ac:dyDescent="0.3">
      <c r="A34" t="s">
        <v>62</v>
      </c>
      <c r="B34" t="s">
        <v>24</v>
      </c>
      <c r="C34" t="s">
        <v>16</v>
      </c>
      <c r="D34" t="s">
        <v>27</v>
      </c>
      <c r="E34" t="s">
        <v>18</v>
      </c>
      <c r="F34">
        <v>9</v>
      </c>
      <c r="G34" t="str">
        <f t="shared" ref="G34:G65" si="6">TEXT(DATE(2011,F34,1),"mmm")</f>
        <v>Sep</v>
      </c>
      <c r="H34">
        <f t="shared" ref="H34:H65" si="7">2016+INT((ROW(F34)-2)/12)</f>
        <v>2018</v>
      </c>
      <c r="I34" t="str">
        <f t="shared" ref="I34:I65" si="8">TEXT(EDATE(DATE(2016,1,1),ROW(G34)-2),"mmm-yyyy")</f>
        <v>Sep-2018</v>
      </c>
      <c r="J34" t="str">
        <f t="shared" ref="J34:J65" si="9">"Q"&amp;ROUNDUP(MONTH(DATEVALUE("1-"&amp;I34))/3,0)</f>
        <v>Q3</v>
      </c>
      <c r="K34" s="5">
        <v>13358</v>
      </c>
      <c r="L34">
        <v>44414</v>
      </c>
      <c r="M34">
        <v>57</v>
      </c>
      <c r="N34" s="5">
        <v>76444</v>
      </c>
      <c r="O34" s="5">
        <f t="shared" si="4"/>
        <v>117303.33333333333</v>
      </c>
      <c r="P34" s="5">
        <f t="shared" si="5"/>
        <v>108211.25</v>
      </c>
      <c r="Q34">
        <v>51</v>
      </c>
      <c r="R34">
        <v>90</v>
      </c>
      <c r="S34" t="s">
        <v>19</v>
      </c>
      <c r="T34" t="s">
        <v>22</v>
      </c>
    </row>
    <row r="35" spans="1:20" x14ac:dyDescent="0.3">
      <c r="A35" t="s">
        <v>63</v>
      </c>
      <c r="B35" t="s">
        <v>31</v>
      </c>
      <c r="C35" t="s">
        <v>25</v>
      </c>
      <c r="D35" t="s">
        <v>27</v>
      </c>
      <c r="E35" t="s">
        <v>18</v>
      </c>
      <c r="F35">
        <v>10</v>
      </c>
      <c r="G35" t="str">
        <f t="shared" si="6"/>
        <v>Oct</v>
      </c>
      <c r="H35">
        <f t="shared" si="7"/>
        <v>2018</v>
      </c>
      <c r="I35" t="str">
        <f t="shared" si="8"/>
        <v>Oct-2018</v>
      </c>
      <c r="J35" t="str">
        <f t="shared" si="9"/>
        <v>Q4</v>
      </c>
      <c r="K35" s="5">
        <v>26606</v>
      </c>
      <c r="L35">
        <v>84212</v>
      </c>
      <c r="M35">
        <v>61</v>
      </c>
      <c r="N35" s="5">
        <v>140648</v>
      </c>
      <c r="O35" s="5">
        <f t="shared" si="4"/>
        <v>119416.33333333333</v>
      </c>
      <c r="P35" s="5">
        <f t="shared" si="5"/>
        <v>123139.5</v>
      </c>
      <c r="Q35">
        <v>88</v>
      </c>
      <c r="R35">
        <v>90</v>
      </c>
      <c r="S35" t="s">
        <v>19</v>
      </c>
      <c r="T35" t="s">
        <v>22</v>
      </c>
    </row>
    <row r="36" spans="1:20" x14ac:dyDescent="0.3">
      <c r="A36" t="s">
        <v>64</v>
      </c>
      <c r="B36" t="s">
        <v>24</v>
      </c>
      <c r="C36" t="s">
        <v>25</v>
      </c>
      <c r="D36" t="s">
        <v>27</v>
      </c>
      <c r="E36" t="s">
        <v>28</v>
      </c>
      <c r="F36">
        <v>11</v>
      </c>
      <c r="G36" t="str">
        <f t="shared" si="6"/>
        <v>Nov</v>
      </c>
      <c r="H36">
        <f t="shared" si="7"/>
        <v>2018</v>
      </c>
      <c r="I36" t="str">
        <f t="shared" si="8"/>
        <v>Nov-2018</v>
      </c>
      <c r="J36" t="str">
        <f t="shared" si="9"/>
        <v>Q4</v>
      </c>
      <c r="K36" s="5">
        <v>22992</v>
      </c>
      <c r="L36">
        <v>78026</v>
      </c>
      <c r="M36">
        <v>94</v>
      </c>
      <c r="N36" s="5">
        <v>117502</v>
      </c>
      <c r="O36" s="5">
        <f t="shared" si="4"/>
        <v>111531.33333333333</v>
      </c>
      <c r="P36" s="5">
        <f t="shared" si="5"/>
        <v>118937.75</v>
      </c>
      <c r="Q36">
        <v>72</v>
      </c>
      <c r="R36">
        <v>99</v>
      </c>
      <c r="S36" t="s">
        <v>19</v>
      </c>
      <c r="T36" t="s">
        <v>22</v>
      </c>
    </row>
    <row r="37" spans="1:20" x14ac:dyDescent="0.3">
      <c r="A37" t="s">
        <v>65</v>
      </c>
      <c r="B37" t="s">
        <v>24</v>
      </c>
      <c r="C37" t="s">
        <v>34</v>
      </c>
      <c r="D37" t="s">
        <v>27</v>
      </c>
      <c r="E37" t="s">
        <v>28</v>
      </c>
      <c r="F37">
        <v>12</v>
      </c>
      <c r="G37" t="str">
        <f t="shared" si="6"/>
        <v>Dec</v>
      </c>
      <c r="H37">
        <f t="shared" si="7"/>
        <v>2018</v>
      </c>
      <c r="I37" t="str">
        <f t="shared" si="8"/>
        <v>Dec-2018</v>
      </c>
      <c r="J37" t="str">
        <f t="shared" si="9"/>
        <v>Q4</v>
      </c>
      <c r="K37" s="5">
        <v>13516</v>
      </c>
      <c r="L37">
        <v>52347</v>
      </c>
      <c r="M37">
        <v>110</v>
      </c>
      <c r="N37" s="5">
        <v>80111</v>
      </c>
      <c r="O37" s="5">
        <f t="shared" si="4"/>
        <v>112753.66666666667</v>
      </c>
      <c r="P37" s="5">
        <f t="shared" si="5"/>
        <v>103676.25</v>
      </c>
      <c r="Q37">
        <v>51</v>
      </c>
      <c r="R37">
        <v>71</v>
      </c>
      <c r="S37" t="s">
        <v>19</v>
      </c>
      <c r="T37" t="s">
        <v>22</v>
      </c>
    </row>
    <row r="38" spans="1:20" x14ac:dyDescent="0.3">
      <c r="A38" t="s">
        <v>66</v>
      </c>
      <c r="B38" t="s">
        <v>24</v>
      </c>
      <c r="C38" t="s">
        <v>38</v>
      </c>
      <c r="D38" t="s">
        <v>17</v>
      </c>
      <c r="E38" t="s">
        <v>28</v>
      </c>
      <c r="F38">
        <v>1</v>
      </c>
      <c r="G38" t="str">
        <f t="shared" si="6"/>
        <v>Jan</v>
      </c>
      <c r="H38">
        <f t="shared" si="7"/>
        <v>2019</v>
      </c>
      <c r="I38" t="str">
        <f t="shared" si="8"/>
        <v>Jan-2019</v>
      </c>
      <c r="J38" t="str">
        <f t="shared" si="9"/>
        <v>Q1</v>
      </c>
      <c r="K38" s="5">
        <v>24537</v>
      </c>
      <c r="L38">
        <v>76285</v>
      </c>
      <c r="M38">
        <v>43</v>
      </c>
      <c r="N38" s="5">
        <v>126278</v>
      </c>
      <c r="O38" s="5">
        <f t="shared" si="4"/>
        <v>107963.66666666667</v>
      </c>
      <c r="P38" s="5">
        <f t="shared" si="5"/>
        <v>116134.75</v>
      </c>
      <c r="Q38">
        <v>81</v>
      </c>
      <c r="R38">
        <v>94</v>
      </c>
      <c r="S38" t="s">
        <v>19</v>
      </c>
      <c r="T38" t="s">
        <v>20</v>
      </c>
    </row>
    <row r="39" spans="1:20" x14ac:dyDescent="0.3">
      <c r="A39" t="s">
        <v>67</v>
      </c>
      <c r="B39" t="s">
        <v>33</v>
      </c>
      <c r="C39" t="s">
        <v>34</v>
      </c>
      <c r="D39" t="s">
        <v>27</v>
      </c>
      <c r="E39" t="s">
        <v>18</v>
      </c>
      <c r="F39">
        <v>2</v>
      </c>
      <c r="G39" t="str">
        <f t="shared" si="6"/>
        <v>Feb</v>
      </c>
      <c r="H39">
        <f t="shared" si="7"/>
        <v>2019</v>
      </c>
      <c r="I39" t="str">
        <f t="shared" si="8"/>
        <v>Feb-2019</v>
      </c>
      <c r="J39" t="str">
        <f t="shared" si="9"/>
        <v>Q1</v>
      </c>
      <c r="K39" s="5">
        <v>25356</v>
      </c>
      <c r="L39">
        <v>80789</v>
      </c>
      <c r="M39">
        <v>133</v>
      </c>
      <c r="N39" s="5">
        <v>134796</v>
      </c>
      <c r="O39" s="5">
        <f t="shared" si="4"/>
        <v>113728.33333333333</v>
      </c>
      <c r="P39" s="5">
        <f t="shared" si="5"/>
        <v>114671.75</v>
      </c>
      <c r="Q39">
        <v>89</v>
      </c>
      <c r="R39">
        <v>98</v>
      </c>
      <c r="S39" t="s">
        <v>19</v>
      </c>
      <c r="T39" t="s">
        <v>22</v>
      </c>
    </row>
    <row r="40" spans="1:20" x14ac:dyDescent="0.3">
      <c r="A40" t="s">
        <v>68</v>
      </c>
      <c r="B40" t="s">
        <v>31</v>
      </c>
      <c r="C40" t="s">
        <v>38</v>
      </c>
      <c r="D40" t="s">
        <v>17</v>
      </c>
      <c r="E40" t="s">
        <v>18</v>
      </c>
      <c r="F40">
        <v>3</v>
      </c>
      <c r="G40" t="str">
        <f t="shared" si="6"/>
        <v>Mar</v>
      </c>
      <c r="H40">
        <f t="shared" si="7"/>
        <v>2019</v>
      </c>
      <c r="I40" t="str">
        <f t="shared" si="8"/>
        <v>Mar-2019</v>
      </c>
      <c r="J40" t="str">
        <f t="shared" si="9"/>
        <v>Q1</v>
      </c>
      <c r="K40" s="5">
        <v>7371</v>
      </c>
      <c r="L40">
        <v>29356</v>
      </c>
      <c r="M40">
        <v>57</v>
      </c>
      <c r="N40" s="5">
        <v>46911</v>
      </c>
      <c r="O40" s="5">
        <f t="shared" si="4"/>
        <v>102661.66666666667</v>
      </c>
      <c r="P40" s="5">
        <f t="shared" si="5"/>
        <v>97024</v>
      </c>
      <c r="Q40">
        <v>36</v>
      </c>
      <c r="R40">
        <v>94</v>
      </c>
      <c r="S40" t="s">
        <v>19</v>
      </c>
      <c r="T40" t="s">
        <v>20</v>
      </c>
    </row>
    <row r="41" spans="1:20" x14ac:dyDescent="0.3">
      <c r="A41" t="s">
        <v>69</v>
      </c>
      <c r="B41" t="s">
        <v>15</v>
      </c>
      <c r="C41" t="s">
        <v>25</v>
      </c>
      <c r="D41" t="s">
        <v>17</v>
      </c>
      <c r="E41" t="s">
        <v>28</v>
      </c>
      <c r="F41">
        <v>4</v>
      </c>
      <c r="G41" t="str">
        <f t="shared" si="6"/>
        <v>Apr</v>
      </c>
      <c r="H41">
        <f t="shared" si="7"/>
        <v>2019</v>
      </c>
      <c r="I41" t="str">
        <f t="shared" si="8"/>
        <v>Apr-2019</v>
      </c>
      <c r="J41" t="str">
        <f t="shared" si="9"/>
        <v>Q2</v>
      </c>
      <c r="K41" s="5">
        <v>17075</v>
      </c>
      <c r="L41">
        <v>58188</v>
      </c>
      <c r="M41">
        <v>179</v>
      </c>
      <c r="N41" s="5">
        <v>97429</v>
      </c>
      <c r="O41" s="5">
        <f t="shared" si="4"/>
        <v>93045.333333333328</v>
      </c>
      <c r="P41" s="5">
        <f t="shared" si="5"/>
        <v>101353.5</v>
      </c>
      <c r="Q41">
        <v>62</v>
      </c>
      <c r="R41">
        <v>60</v>
      </c>
      <c r="S41" t="s">
        <v>29</v>
      </c>
      <c r="T41" t="s">
        <v>20</v>
      </c>
    </row>
    <row r="42" spans="1:20" x14ac:dyDescent="0.3">
      <c r="A42" t="s">
        <v>70</v>
      </c>
      <c r="B42" t="s">
        <v>33</v>
      </c>
      <c r="C42" t="s">
        <v>34</v>
      </c>
      <c r="D42" t="s">
        <v>27</v>
      </c>
      <c r="E42" t="s">
        <v>18</v>
      </c>
      <c r="F42">
        <v>5</v>
      </c>
      <c r="G42" t="str">
        <f t="shared" si="6"/>
        <v>May</v>
      </c>
      <c r="H42">
        <f t="shared" si="7"/>
        <v>2019</v>
      </c>
      <c r="I42" t="str">
        <f t="shared" si="8"/>
        <v>May-2019</v>
      </c>
      <c r="J42" t="str">
        <f t="shared" si="9"/>
        <v>Q2</v>
      </c>
      <c r="K42" s="5">
        <v>23484</v>
      </c>
      <c r="L42">
        <v>80314</v>
      </c>
      <c r="M42">
        <v>44</v>
      </c>
      <c r="N42" s="5">
        <v>117269</v>
      </c>
      <c r="O42" s="5">
        <f t="shared" si="4"/>
        <v>87203</v>
      </c>
      <c r="P42" s="5">
        <f t="shared" si="5"/>
        <v>99101.25</v>
      </c>
      <c r="Q42">
        <v>70</v>
      </c>
      <c r="R42">
        <v>62</v>
      </c>
      <c r="S42" t="s">
        <v>29</v>
      </c>
      <c r="T42" t="s">
        <v>20</v>
      </c>
    </row>
    <row r="43" spans="1:20" x14ac:dyDescent="0.3">
      <c r="A43" t="s">
        <v>71</v>
      </c>
      <c r="B43" t="s">
        <v>15</v>
      </c>
      <c r="C43" t="s">
        <v>16</v>
      </c>
      <c r="D43" t="s">
        <v>17</v>
      </c>
      <c r="E43" t="s">
        <v>18</v>
      </c>
      <c r="F43">
        <v>6</v>
      </c>
      <c r="G43" t="str">
        <f t="shared" si="6"/>
        <v>Jun</v>
      </c>
      <c r="H43">
        <f t="shared" si="7"/>
        <v>2019</v>
      </c>
      <c r="I43" t="str">
        <f t="shared" si="8"/>
        <v>Jun-2019</v>
      </c>
      <c r="J43" t="str">
        <f t="shared" si="9"/>
        <v>Q2</v>
      </c>
      <c r="K43" s="5">
        <v>12595</v>
      </c>
      <c r="L43">
        <v>44938</v>
      </c>
      <c r="M43">
        <v>147</v>
      </c>
      <c r="N43" s="5">
        <v>73609</v>
      </c>
      <c r="O43" s="5">
        <f t="shared" si="4"/>
        <v>96102.333333333328</v>
      </c>
      <c r="P43" s="5">
        <f t="shared" si="5"/>
        <v>83804.5</v>
      </c>
      <c r="Q43">
        <v>49</v>
      </c>
      <c r="R43">
        <v>70</v>
      </c>
      <c r="S43" t="s">
        <v>19</v>
      </c>
      <c r="T43" t="s">
        <v>22</v>
      </c>
    </row>
    <row r="44" spans="1:20" x14ac:dyDescent="0.3">
      <c r="A44" t="s">
        <v>72</v>
      </c>
      <c r="B44" t="s">
        <v>24</v>
      </c>
      <c r="C44" t="s">
        <v>38</v>
      </c>
      <c r="D44" t="s">
        <v>27</v>
      </c>
      <c r="E44" t="s">
        <v>28</v>
      </c>
      <c r="F44">
        <v>7</v>
      </c>
      <c r="G44" t="str">
        <f t="shared" si="6"/>
        <v>Jul</v>
      </c>
      <c r="H44">
        <f t="shared" si="7"/>
        <v>2019</v>
      </c>
      <c r="I44" t="str">
        <f t="shared" si="8"/>
        <v>Jul-2019</v>
      </c>
      <c r="J44" t="str">
        <f t="shared" si="9"/>
        <v>Q3</v>
      </c>
      <c r="K44" s="5">
        <v>5932</v>
      </c>
      <c r="L44">
        <v>24485</v>
      </c>
      <c r="M44">
        <v>90</v>
      </c>
      <c r="N44" s="5">
        <v>56812</v>
      </c>
      <c r="O44" s="5">
        <f t="shared" si="4"/>
        <v>82563.333333333328</v>
      </c>
      <c r="P44" s="5">
        <f t="shared" si="5"/>
        <v>86279.75</v>
      </c>
      <c r="Q44">
        <v>47</v>
      </c>
      <c r="R44">
        <v>75</v>
      </c>
      <c r="S44" t="s">
        <v>19</v>
      </c>
      <c r="T44" t="s">
        <v>20</v>
      </c>
    </row>
    <row r="45" spans="1:20" x14ac:dyDescent="0.3">
      <c r="A45" t="s">
        <v>73</v>
      </c>
      <c r="B45" t="s">
        <v>33</v>
      </c>
      <c r="C45" t="s">
        <v>16</v>
      </c>
      <c r="D45" t="s">
        <v>27</v>
      </c>
      <c r="E45" t="s">
        <v>28</v>
      </c>
      <c r="F45">
        <v>8</v>
      </c>
      <c r="G45" t="str">
        <f t="shared" si="6"/>
        <v>Aug</v>
      </c>
      <c r="H45">
        <f t="shared" si="7"/>
        <v>2019</v>
      </c>
      <c r="I45" t="str">
        <f t="shared" si="8"/>
        <v>Aug-2019</v>
      </c>
      <c r="J45" t="str">
        <f t="shared" si="9"/>
        <v>Q3</v>
      </c>
      <c r="K45" s="5">
        <v>17346</v>
      </c>
      <c r="L45">
        <v>60359</v>
      </c>
      <c r="M45">
        <v>83</v>
      </c>
      <c r="N45" s="5">
        <v>92441</v>
      </c>
      <c r="O45" s="5">
        <f t="shared" si="4"/>
        <v>74287.333333333328</v>
      </c>
      <c r="P45" s="5">
        <f t="shared" si="5"/>
        <v>85032.75</v>
      </c>
      <c r="Q45">
        <v>69</v>
      </c>
      <c r="R45">
        <v>68</v>
      </c>
      <c r="S45" t="s">
        <v>29</v>
      </c>
      <c r="T45" t="s">
        <v>22</v>
      </c>
    </row>
    <row r="46" spans="1:20" x14ac:dyDescent="0.3">
      <c r="A46" t="s">
        <v>74</v>
      </c>
      <c r="B46" t="s">
        <v>31</v>
      </c>
      <c r="C46" t="s">
        <v>38</v>
      </c>
      <c r="D46" t="s">
        <v>27</v>
      </c>
      <c r="E46" t="s">
        <v>18</v>
      </c>
      <c r="F46">
        <v>9</v>
      </c>
      <c r="G46" t="str">
        <f t="shared" si="6"/>
        <v>Sep</v>
      </c>
      <c r="H46">
        <f t="shared" si="7"/>
        <v>2019</v>
      </c>
      <c r="I46" t="str">
        <f t="shared" si="8"/>
        <v>Sep-2019</v>
      </c>
      <c r="J46" t="str">
        <f t="shared" si="9"/>
        <v>Q3</v>
      </c>
      <c r="K46" s="5">
        <v>9408</v>
      </c>
      <c r="L46">
        <v>32827</v>
      </c>
      <c r="M46">
        <v>62</v>
      </c>
      <c r="N46" s="5">
        <v>60874</v>
      </c>
      <c r="O46" s="5">
        <f t="shared" si="4"/>
        <v>70042.333333333328</v>
      </c>
      <c r="P46" s="5">
        <f t="shared" si="5"/>
        <v>70934</v>
      </c>
      <c r="Q46">
        <v>40</v>
      </c>
      <c r="R46">
        <v>72</v>
      </c>
      <c r="S46" t="s">
        <v>19</v>
      </c>
      <c r="T46" t="s">
        <v>22</v>
      </c>
    </row>
    <row r="47" spans="1:20" x14ac:dyDescent="0.3">
      <c r="A47" t="s">
        <v>75</v>
      </c>
      <c r="B47" t="s">
        <v>31</v>
      </c>
      <c r="C47" t="s">
        <v>38</v>
      </c>
      <c r="D47" t="s">
        <v>27</v>
      </c>
      <c r="E47" t="s">
        <v>28</v>
      </c>
      <c r="F47">
        <v>10</v>
      </c>
      <c r="G47" t="str">
        <f t="shared" si="6"/>
        <v>Oct</v>
      </c>
      <c r="H47">
        <f t="shared" si="7"/>
        <v>2019</v>
      </c>
      <c r="I47" t="str">
        <f t="shared" si="8"/>
        <v>Oct-2019</v>
      </c>
      <c r="J47" t="str">
        <f t="shared" si="9"/>
        <v>Q4</v>
      </c>
      <c r="K47" s="5">
        <v>6405</v>
      </c>
      <c r="L47">
        <v>30488</v>
      </c>
      <c r="M47">
        <v>60</v>
      </c>
      <c r="N47" s="5">
        <v>38436</v>
      </c>
      <c r="O47" s="5">
        <f t="shared" si="4"/>
        <v>63917</v>
      </c>
      <c r="P47" s="5">
        <f t="shared" si="5"/>
        <v>62140.75</v>
      </c>
      <c r="Q47">
        <v>32</v>
      </c>
      <c r="R47">
        <v>63</v>
      </c>
      <c r="S47" t="s">
        <v>29</v>
      </c>
      <c r="T47" t="s">
        <v>22</v>
      </c>
    </row>
    <row r="48" spans="1:20" x14ac:dyDescent="0.3">
      <c r="A48" t="s">
        <v>76</v>
      </c>
      <c r="B48" t="s">
        <v>33</v>
      </c>
      <c r="C48" t="s">
        <v>34</v>
      </c>
      <c r="D48" t="s">
        <v>17</v>
      </c>
      <c r="E48" t="s">
        <v>28</v>
      </c>
      <c r="F48">
        <v>11</v>
      </c>
      <c r="G48" t="str">
        <f t="shared" si="6"/>
        <v>Nov</v>
      </c>
      <c r="H48">
        <f t="shared" si="7"/>
        <v>2019</v>
      </c>
      <c r="I48" t="str">
        <f t="shared" si="8"/>
        <v>Nov-2019</v>
      </c>
      <c r="J48" t="str">
        <f t="shared" si="9"/>
        <v>Q4</v>
      </c>
      <c r="K48" s="5">
        <v>6718</v>
      </c>
      <c r="L48">
        <v>26750</v>
      </c>
      <c r="M48">
        <v>102</v>
      </c>
      <c r="N48" s="5">
        <v>46870</v>
      </c>
      <c r="O48" s="5">
        <f t="shared" si="4"/>
        <v>48726.666666666664</v>
      </c>
      <c r="P48" s="5">
        <f t="shared" si="5"/>
        <v>59655.25</v>
      </c>
      <c r="Q48">
        <v>31</v>
      </c>
      <c r="R48">
        <v>64</v>
      </c>
      <c r="S48" t="s">
        <v>29</v>
      </c>
      <c r="T48" t="s">
        <v>20</v>
      </c>
    </row>
    <row r="49" spans="1:20" x14ac:dyDescent="0.3">
      <c r="A49" t="s">
        <v>77</v>
      </c>
      <c r="B49" t="s">
        <v>31</v>
      </c>
      <c r="C49" t="s">
        <v>25</v>
      </c>
      <c r="D49" t="s">
        <v>17</v>
      </c>
      <c r="E49" t="s">
        <v>28</v>
      </c>
      <c r="F49">
        <v>12</v>
      </c>
      <c r="G49" t="str">
        <f t="shared" si="6"/>
        <v>Dec</v>
      </c>
      <c r="H49">
        <f t="shared" si="7"/>
        <v>2019</v>
      </c>
      <c r="I49" t="str">
        <f t="shared" si="8"/>
        <v>Dec-2019</v>
      </c>
      <c r="J49" t="str">
        <f t="shared" si="9"/>
        <v>Q4</v>
      </c>
      <c r="K49" s="5">
        <v>23331</v>
      </c>
      <c r="L49">
        <v>76359</v>
      </c>
      <c r="M49">
        <v>130</v>
      </c>
      <c r="N49" s="5">
        <v>132446</v>
      </c>
      <c r="O49" s="5">
        <f t="shared" si="4"/>
        <v>72584</v>
      </c>
      <c r="P49" s="5">
        <f t="shared" si="5"/>
        <v>69656.5</v>
      </c>
      <c r="Q49">
        <v>78</v>
      </c>
      <c r="R49">
        <v>100</v>
      </c>
      <c r="S49" t="s">
        <v>19</v>
      </c>
      <c r="T49" t="s">
        <v>20</v>
      </c>
    </row>
    <row r="50" spans="1:20" x14ac:dyDescent="0.3">
      <c r="A50" t="s">
        <v>78</v>
      </c>
      <c r="B50" t="s">
        <v>31</v>
      </c>
      <c r="C50" t="s">
        <v>34</v>
      </c>
      <c r="D50" t="s">
        <v>17</v>
      </c>
      <c r="E50" t="s">
        <v>28</v>
      </c>
      <c r="F50">
        <v>1</v>
      </c>
      <c r="G50" t="str">
        <f t="shared" si="6"/>
        <v>Jan</v>
      </c>
      <c r="H50">
        <f t="shared" si="7"/>
        <v>2020</v>
      </c>
      <c r="I50" t="str">
        <f t="shared" si="8"/>
        <v>Jan-2020</v>
      </c>
      <c r="J50" t="str">
        <f t="shared" si="9"/>
        <v>Q1</v>
      </c>
      <c r="K50" s="5">
        <v>25283</v>
      </c>
      <c r="L50">
        <v>79816</v>
      </c>
      <c r="M50">
        <v>121</v>
      </c>
      <c r="N50" s="5">
        <v>141767</v>
      </c>
      <c r="O50" s="5">
        <f t="shared" si="4"/>
        <v>107027.66666666667</v>
      </c>
      <c r="P50" s="5">
        <f t="shared" si="5"/>
        <v>89879.75</v>
      </c>
      <c r="Q50">
        <v>86</v>
      </c>
      <c r="R50">
        <v>83</v>
      </c>
      <c r="S50" t="s">
        <v>19</v>
      </c>
      <c r="T50" t="s">
        <v>20</v>
      </c>
    </row>
    <row r="51" spans="1:20" x14ac:dyDescent="0.3">
      <c r="A51" t="s">
        <v>79</v>
      </c>
      <c r="B51" t="s">
        <v>15</v>
      </c>
      <c r="C51" t="s">
        <v>38</v>
      </c>
      <c r="D51" t="s">
        <v>17</v>
      </c>
      <c r="E51" t="s">
        <v>28</v>
      </c>
      <c r="F51">
        <v>2</v>
      </c>
      <c r="G51" t="str">
        <f t="shared" si="6"/>
        <v>Feb</v>
      </c>
      <c r="H51">
        <f t="shared" si="7"/>
        <v>2020</v>
      </c>
      <c r="I51" t="str">
        <f t="shared" si="8"/>
        <v>Feb-2020</v>
      </c>
      <c r="J51" t="str">
        <f t="shared" si="9"/>
        <v>Q1</v>
      </c>
      <c r="K51" s="5">
        <v>21478</v>
      </c>
      <c r="L51">
        <v>72546</v>
      </c>
      <c r="M51">
        <v>60</v>
      </c>
      <c r="N51" s="5">
        <v>109494</v>
      </c>
      <c r="O51" s="5">
        <f t="shared" si="4"/>
        <v>127902.33333333333</v>
      </c>
      <c r="P51" s="5">
        <f t="shared" si="5"/>
        <v>107644.25</v>
      </c>
      <c r="Q51">
        <v>74</v>
      </c>
      <c r="R51">
        <v>89</v>
      </c>
      <c r="S51" t="s">
        <v>19</v>
      </c>
      <c r="T51" t="s">
        <v>22</v>
      </c>
    </row>
    <row r="52" spans="1:20" x14ac:dyDescent="0.3">
      <c r="A52" t="s">
        <v>80</v>
      </c>
      <c r="B52" t="s">
        <v>31</v>
      </c>
      <c r="C52" t="s">
        <v>34</v>
      </c>
      <c r="D52" t="s">
        <v>17</v>
      </c>
      <c r="E52" t="s">
        <v>18</v>
      </c>
      <c r="F52">
        <v>3</v>
      </c>
      <c r="G52" t="str">
        <f t="shared" si="6"/>
        <v>Mar</v>
      </c>
      <c r="H52">
        <f t="shared" si="7"/>
        <v>2020</v>
      </c>
      <c r="I52" t="str">
        <f t="shared" si="8"/>
        <v>Mar-2020</v>
      </c>
      <c r="J52" t="str">
        <f t="shared" si="9"/>
        <v>Q1</v>
      </c>
      <c r="K52" s="5">
        <v>16072</v>
      </c>
      <c r="L52">
        <v>53961</v>
      </c>
      <c r="M52">
        <v>80</v>
      </c>
      <c r="N52" s="5">
        <v>86793</v>
      </c>
      <c r="O52" s="5">
        <f t="shared" si="4"/>
        <v>112684.66666666667</v>
      </c>
      <c r="P52" s="5">
        <f t="shared" si="5"/>
        <v>117625</v>
      </c>
      <c r="Q52">
        <v>68</v>
      </c>
      <c r="R52">
        <v>76</v>
      </c>
      <c r="S52" t="s">
        <v>19</v>
      </c>
      <c r="T52" t="s">
        <v>20</v>
      </c>
    </row>
    <row r="53" spans="1:20" x14ac:dyDescent="0.3">
      <c r="A53" t="s">
        <v>81</v>
      </c>
      <c r="B53" t="s">
        <v>33</v>
      </c>
      <c r="C53" t="s">
        <v>38</v>
      </c>
      <c r="D53" t="s">
        <v>27</v>
      </c>
      <c r="E53" t="s">
        <v>18</v>
      </c>
      <c r="F53">
        <v>4</v>
      </c>
      <c r="G53" t="str">
        <f t="shared" si="6"/>
        <v>Apr</v>
      </c>
      <c r="H53">
        <f t="shared" si="7"/>
        <v>2020</v>
      </c>
      <c r="I53" t="str">
        <f t="shared" si="8"/>
        <v>Apr-2020</v>
      </c>
      <c r="J53" t="str">
        <f t="shared" si="9"/>
        <v>Q2</v>
      </c>
      <c r="K53" s="5">
        <v>26436</v>
      </c>
      <c r="L53">
        <v>81496</v>
      </c>
      <c r="M53">
        <v>124</v>
      </c>
      <c r="N53" s="5">
        <v>131784</v>
      </c>
      <c r="O53" s="5">
        <f t="shared" si="4"/>
        <v>109357</v>
      </c>
      <c r="P53" s="5">
        <f t="shared" si="5"/>
        <v>117459.5</v>
      </c>
      <c r="Q53">
        <v>91</v>
      </c>
      <c r="R53">
        <v>99</v>
      </c>
      <c r="S53" t="s">
        <v>19</v>
      </c>
      <c r="T53" t="s">
        <v>22</v>
      </c>
    </row>
    <row r="54" spans="1:20" x14ac:dyDescent="0.3">
      <c r="A54" t="s">
        <v>82</v>
      </c>
      <c r="B54" t="s">
        <v>31</v>
      </c>
      <c r="C54" t="s">
        <v>16</v>
      </c>
      <c r="D54" t="s">
        <v>17</v>
      </c>
      <c r="E54" t="s">
        <v>18</v>
      </c>
      <c r="F54">
        <v>5</v>
      </c>
      <c r="G54" t="str">
        <f t="shared" si="6"/>
        <v>May</v>
      </c>
      <c r="H54">
        <f t="shared" si="7"/>
        <v>2020</v>
      </c>
      <c r="I54" t="str">
        <f t="shared" si="8"/>
        <v>May-2020</v>
      </c>
      <c r="J54" t="str">
        <f t="shared" si="9"/>
        <v>Q2</v>
      </c>
      <c r="K54" s="5">
        <v>6674</v>
      </c>
      <c r="L54">
        <v>22131</v>
      </c>
      <c r="M54">
        <v>166</v>
      </c>
      <c r="N54" s="5">
        <v>54724</v>
      </c>
      <c r="O54" s="5">
        <f t="shared" si="4"/>
        <v>91100.333333333328</v>
      </c>
      <c r="P54" s="5">
        <f t="shared" si="5"/>
        <v>95698.75</v>
      </c>
      <c r="Q54">
        <v>38</v>
      </c>
      <c r="R54">
        <v>100</v>
      </c>
      <c r="S54" t="s">
        <v>19</v>
      </c>
      <c r="T54" t="s">
        <v>20</v>
      </c>
    </row>
    <row r="55" spans="1:20" x14ac:dyDescent="0.3">
      <c r="A55" t="s">
        <v>83</v>
      </c>
      <c r="B55" t="s">
        <v>24</v>
      </c>
      <c r="C55" t="s">
        <v>16</v>
      </c>
      <c r="D55" t="s">
        <v>27</v>
      </c>
      <c r="E55" t="s">
        <v>18</v>
      </c>
      <c r="F55">
        <v>6</v>
      </c>
      <c r="G55" t="str">
        <f t="shared" si="6"/>
        <v>Jun</v>
      </c>
      <c r="H55">
        <f t="shared" si="7"/>
        <v>2020</v>
      </c>
      <c r="I55" t="str">
        <f t="shared" si="8"/>
        <v>Jun-2020</v>
      </c>
      <c r="J55" t="str">
        <f t="shared" si="9"/>
        <v>Q2</v>
      </c>
      <c r="K55" s="5">
        <v>28202</v>
      </c>
      <c r="L55">
        <v>92025</v>
      </c>
      <c r="M55">
        <v>138</v>
      </c>
      <c r="N55" s="5">
        <v>175118</v>
      </c>
      <c r="O55" s="5">
        <f t="shared" si="4"/>
        <v>120542</v>
      </c>
      <c r="P55" s="5">
        <f t="shared" si="5"/>
        <v>112104.75</v>
      </c>
      <c r="Q55">
        <v>112</v>
      </c>
      <c r="R55">
        <v>100</v>
      </c>
      <c r="S55" t="s">
        <v>19</v>
      </c>
      <c r="T55" t="s">
        <v>22</v>
      </c>
    </row>
    <row r="56" spans="1:20" x14ac:dyDescent="0.3">
      <c r="A56" t="s">
        <v>84</v>
      </c>
      <c r="B56" t="s">
        <v>24</v>
      </c>
      <c r="C56" t="s">
        <v>34</v>
      </c>
      <c r="D56" t="s">
        <v>17</v>
      </c>
      <c r="E56" t="s">
        <v>28</v>
      </c>
      <c r="F56">
        <v>7</v>
      </c>
      <c r="G56" t="str">
        <f t="shared" si="6"/>
        <v>Jul</v>
      </c>
      <c r="H56">
        <f t="shared" si="7"/>
        <v>2020</v>
      </c>
      <c r="I56" t="str">
        <f t="shared" si="8"/>
        <v>Jul-2020</v>
      </c>
      <c r="J56" t="str">
        <f t="shared" si="9"/>
        <v>Q3</v>
      </c>
      <c r="K56" s="5">
        <v>23443</v>
      </c>
      <c r="L56">
        <v>73199</v>
      </c>
      <c r="M56">
        <v>177</v>
      </c>
      <c r="N56" s="5">
        <v>147858</v>
      </c>
      <c r="O56" s="5">
        <f t="shared" si="4"/>
        <v>125900</v>
      </c>
      <c r="P56" s="5">
        <f t="shared" si="5"/>
        <v>127371</v>
      </c>
      <c r="Q56">
        <v>96</v>
      </c>
      <c r="R56">
        <v>94</v>
      </c>
      <c r="S56" t="s">
        <v>19</v>
      </c>
      <c r="T56" t="s">
        <v>22</v>
      </c>
    </row>
    <row r="57" spans="1:20" x14ac:dyDescent="0.3">
      <c r="A57" t="s">
        <v>85</v>
      </c>
      <c r="B57" t="s">
        <v>15</v>
      </c>
      <c r="C57" t="s">
        <v>25</v>
      </c>
      <c r="D57" t="s">
        <v>27</v>
      </c>
      <c r="E57" t="s">
        <v>28</v>
      </c>
      <c r="F57">
        <v>8</v>
      </c>
      <c r="G57" t="str">
        <f t="shared" si="6"/>
        <v>Aug</v>
      </c>
      <c r="H57">
        <f t="shared" si="7"/>
        <v>2020</v>
      </c>
      <c r="I57" t="str">
        <f t="shared" si="8"/>
        <v>Aug-2020</v>
      </c>
      <c r="J57" t="str">
        <f t="shared" si="9"/>
        <v>Q3</v>
      </c>
      <c r="K57" s="5">
        <v>21480</v>
      </c>
      <c r="L57">
        <v>76438</v>
      </c>
      <c r="M57">
        <v>86</v>
      </c>
      <c r="N57" s="5">
        <v>139814</v>
      </c>
      <c r="O57" s="5">
        <f t="shared" si="4"/>
        <v>154263.33333333334</v>
      </c>
      <c r="P57" s="5">
        <f t="shared" si="5"/>
        <v>129378.5</v>
      </c>
      <c r="Q57">
        <v>84</v>
      </c>
      <c r="R57">
        <v>90</v>
      </c>
      <c r="S57" t="s">
        <v>19</v>
      </c>
      <c r="T57" t="s">
        <v>20</v>
      </c>
    </row>
    <row r="58" spans="1:20" x14ac:dyDescent="0.3">
      <c r="A58" t="s">
        <v>86</v>
      </c>
      <c r="B58" t="s">
        <v>24</v>
      </c>
      <c r="C58" t="s">
        <v>16</v>
      </c>
      <c r="D58" t="s">
        <v>27</v>
      </c>
      <c r="E58" t="s">
        <v>18</v>
      </c>
      <c r="F58">
        <v>9</v>
      </c>
      <c r="G58" t="str">
        <f t="shared" si="6"/>
        <v>Sep</v>
      </c>
      <c r="H58">
        <f t="shared" si="7"/>
        <v>2020</v>
      </c>
      <c r="I58" t="str">
        <f t="shared" si="8"/>
        <v>Sep-2020</v>
      </c>
      <c r="J58" t="str">
        <f t="shared" si="9"/>
        <v>Q3</v>
      </c>
      <c r="K58" s="5">
        <v>6624</v>
      </c>
      <c r="L58">
        <v>24561</v>
      </c>
      <c r="M58">
        <v>70</v>
      </c>
      <c r="N58" s="5">
        <v>48985</v>
      </c>
      <c r="O58" s="5">
        <f t="shared" si="4"/>
        <v>112219</v>
      </c>
      <c r="P58" s="5">
        <f t="shared" si="5"/>
        <v>127943.75</v>
      </c>
      <c r="Q58">
        <v>42</v>
      </c>
      <c r="R58">
        <v>76</v>
      </c>
      <c r="S58" t="s">
        <v>19</v>
      </c>
      <c r="T58" t="s">
        <v>22</v>
      </c>
    </row>
    <row r="59" spans="1:20" x14ac:dyDescent="0.3">
      <c r="A59" t="s">
        <v>87</v>
      </c>
      <c r="B59" t="s">
        <v>31</v>
      </c>
      <c r="C59" t="s">
        <v>34</v>
      </c>
      <c r="D59" t="s">
        <v>27</v>
      </c>
      <c r="E59" t="s">
        <v>28</v>
      </c>
      <c r="F59">
        <v>10</v>
      </c>
      <c r="G59" t="str">
        <f t="shared" si="6"/>
        <v>Oct</v>
      </c>
      <c r="H59">
        <f t="shared" si="7"/>
        <v>2020</v>
      </c>
      <c r="I59" t="str">
        <f t="shared" si="8"/>
        <v>Oct-2020</v>
      </c>
      <c r="J59" t="str">
        <f t="shared" si="9"/>
        <v>Q4</v>
      </c>
      <c r="K59" s="5">
        <v>7031</v>
      </c>
      <c r="L59">
        <v>28801</v>
      </c>
      <c r="M59">
        <v>178</v>
      </c>
      <c r="N59" s="5">
        <v>48493</v>
      </c>
      <c r="O59" s="5">
        <f t="shared" si="4"/>
        <v>79097.333333333328</v>
      </c>
      <c r="P59" s="5">
        <f t="shared" si="5"/>
        <v>96287.5</v>
      </c>
      <c r="Q59">
        <v>42</v>
      </c>
      <c r="R59">
        <v>62</v>
      </c>
      <c r="S59" t="s">
        <v>29</v>
      </c>
      <c r="T59" t="s">
        <v>22</v>
      </c>
    </row>
    <row r="60" spans="1:20" x14ac:dyDescent="0.3">
      <c r="A60" t="s">
        <v>88</v>
      </c>
      <c r="B60" t="s">
        <v>33</v>
      </c>
      <c r="C60" t="s">
        <v>16</v>
      </c>
      <c r="D60" t="s">
        <v>27</v>
      </c>
      <c r="E60" t="s">
        <v>28</v>
      </c>
      <c r="F60">
        <v>11</v>
      </c>
      <c r="G60" t="str">
        <f t="shared" si="6"/>
        <v>Nov</v>
      </c>
      <c r="H60">
        <f t="shared" si="7"/>
        <v>2020</v>
      </c>
      <c r="I60" t="str">
        <f t="shared" si="8"/>
        <v>Nov-2020</v>
      </c>
      <c r="J60" t="str">
        <f t="shared" si="9"/>
        <v>Q4</v>
      </c>
      <c r="K60" s="5">
        <v>15376</v>
      </c>
      <c r="L60">
        <v>56703</v>
      </c>
      <c r="M60">
        <v>166</v>
      </c>
      <c r="N60" s="5">
        <v>98505</v>
      </c>
      <c r="O60" s="5">
        <f t="shared" si="4"/>
        <v>65327.666666666664</v>
      </c>
      <c r="P60" s="5">
        <f t="shared" si="5"/>
        <v>83949.25</v>
      </c>
      <c r="Q60">
        <v>60</v>
      </c>
      <c r="R60">
        <v>89</v>
      </c>
      <c r="S60" t="s">
        <v>19</v>
      </c>
      <c r="T60" t="s">
        <v>20</v>
      </c>
    </row>
    <row r="61" spans="1:20" x14ac:dyDescent="0.3">
      <c r="A61" t="s">
        <v>89</v>
      </c>
      <c r="B61" t="s">
        <v>31</v>
      </c>
      <c r="C61" t="s">
        <v>25</v>
      </c>
      <c r="D61" t="s">
        <v>17</v>
      </c>
      <c r="E61" t="s">
        <v>18</v>
      </c>
      <c r="F61">
        <v>12</v>
      </c>
      <c r="G61" t="str">
        <f t="shared" si="6"/>
        <v>Dec</v>
      </c>
      <c r="H61">
        <f t="shared" si="7"/>
        <v>2020</v>
      </c>
      <c r="I61" t="str">
        <f t="shared" si="8"/>
        <v>Dec-2020</v>
      </c>
      <c r="J61" t="str">
        <f t="shared" si="9"/>
        <v>Q4</v>
      </c>
      <c r="K61" s="5">
        <v>17225</v>
      </c>
      <c r="L61">
        <v>56787</v>
      </c>
      <c r="M61">
        <v>59</v>
      </c>
      <c r="N61" s="5">
        <v>106051</v>
      </c>
      <c r="O61" s="5">
        <f t="shared" si="4"/>
        <v>84349.666666666672</v>
      </c>
      <c r="P61" s="5">
        <f t="shared" si="5"/>
        <v>75508.5</v>
      </c>
      <c r="Q61">
        <v>65</v>
      </c>
      <c r="R61">
        <v>74</v>
      </c>
      <c r="S61" t="s">
        <v>19</v>
      </c>
      <c r="T61" t="s">
        <v>22</v>
      </c>
    </row>
    <row r="62" spans="1:20" x14ac:dyDescent="0.3">
      <c r="A62" t="s">
        <v>90</v>
      </c>
      <c r="B62" t="s">
        <v>31</v>
      </c>
      <c r="C62" t="s">
        <v>25</v>
      </c>
      <c r="D62" t="s">
        <v>17</v>
      </c>
      <c r="E62" t="s">
        <v>28</v>
      </c>
      <c r="F62">
        <v>1</v>
      </c>
      <c r="G62" t="str">
        <f t="shared" si="6"/>
        <v>Jan</v>
      </c>
      <c r="H62">
        <f t="shared" si="7"/>
        <v>2021</v>
      </c>
      <c r="I62" t="str">
        <f t="shared" si="8"/>
        <v>Jan-2021</v>
      </c>
      <c r="J62" t="str">
        <f t="shared" si="9"/>
        <v>Q1</v>
      </c>
      <c r="K62" s="5">
        <v>21864</v>
      </c>
      <c r="L62">
        <v>70865</v>
      </c>
      <c r="M62">
        <v>58</v>
      </c>
      <c r="N62" s="5">
        <v>128474</v>
      </c>
      <c r="O62" s="5">
        <f t="shared" si="4"/>
        <v>111010</v>
      </c>
      <c r="P62" s="5">
        <f t="shared" si="5"/>
        <v>95380.75</v>
      </c>
      <c r="Q62">
        <v>78</v>
      </c>
      <c r="R62">
        <v>61</v>
      </c>
      <c r="S62" t="s">
        <v>29</v>
      </c>
      <c r="T62" t="s">
        <v>20</v>
      </c>
    </row>
    <row r="63" spans="1:20" x14ac:dyDescent="0.3">
      <c r="A63" t="s">
        <v>91</v>
      </c>
      <c r="B63" t="s">
        <v>24</v>
      </c>
      <c r="C63" t="s">
        <v>34</v>
      </c>
      <c r="D63" t="s">
        <v>17</v>
      </c>
      <c r="E63" t="s">
        <v>28</v>
      </c>
      <c r="F63">
        <v>2</v>
      </c>
      <c r="G63" t="str">
        <f t="shared" si="6"/>
        <v>Feb</v>
      </c>
      <c r="H63">
        <f t="shared" si="7"/>
        <v>2021</v>
      </c>
      <c r="I63" t="str">
        <f t="shared" si="8"/>
        <v>Feb-2021</v>
      </c>
      <c r="J63" t="str">
        <f t="shared" si="9"/>
        <v>Q1</v>
      </c>
      <c r="K63" s="5">
        <v>20820</v>
      </c>
      <c r="L63">
        <v>65984</v>
      </c>
      <c r="M63">
        <v>156</v>
      </c>
      <c r="N63" s="5">
        <v>118158</v>
      </c>
      <c r="O63" s="5">
        <f t="shared" si="4"/>
        <v>117561</v>
      </c>
      <c r="P63" s="5">
        <f t="shared" si="5"/>
        <v>112797</v>
      </c>
      <c r="Q63">
        <v>76</v>
      </c>
      <c r="R63">
        <v>81</v>
      </c>
      <c r="S63" t="s">
        <v>19</v>
      </c>
      <c r="T63" t="s">
        <v>22</v>
      </c>
    </row>
    <row r="64" spans="1:20" x14ac:dyDescent="0.3">
      <c r="A64" t="s">
        <v>92</v>
      </c>
      <c r="B64" t="s">
        <v>31</v>
      </c>
      <c r="C64" t="s">
        <v>38</v>
      </c>
      <c r="D64" t="s">
        <v>27</v>
      </c>
      <c r="E64" t="s">
        <v>18</v>
      </c>
      <c r="F64">
        <v>3</v>
      </c>
      <c r="G64" t="str">
        <f t="shared" si="6"/>
        <v>Mar</v>
      </c>
      <c r="H64">
        <f t="shared" si="7"/>
        <v>2021</v>
      </c>
      <c r="I64" t="str">
        <f t="shared" si="8"/>
        <v>Mar-2021</v>
      </c>
      <c r="J64" t="str">
        <f t="shared" si="9"/>
        <v>Q1</v>
      </c>
      <c r="K64" s="5">
        <v>8845</v>
      </c>
      <c r="L64">
        <v>33102</v>
      </c>
      <c r="M64">
        <v>145</v>
      </c>
      <c r="N64" s="5">
        <v>70939</v>
      </c>
      <c r="O64" s="5">
        <f t="shared" si="4"/>
        <v>105857</v>
      </c>
      <c r="P64" s="5">
        <f t="shared" si="5"/>
        <v>105905.5</v>
      </c>
      <c r="Q64">
        <v>59</v>
      </c>
      <c r="R64">
        <v>79</v>
      </c>
      <c r="S64" t="s">
        <v>19</v>
      </c>
      <c r="T64" t="s">
        <v>22</v>
      </c>
    </row>
    <row r="65" spans="1:20" x14ac:dyDescent="0.3">
      <c r="A65" t="s">
        <v>93</v>
      </c>
      <c r="B65" t="s">
        <v>24</v>
      </c>
      <c r="C65" t="s">
        <v>38</v>
      </c>
      <c r="D65" t="s">
        <v>17</v>
      </c>
      <c r="E65" t="s">
        <v>18</v>
      </c>
      <c r="F65">
        <v>4</v>
      </c>
      <c r="G65" t="str">
        <f t="shared" si="6"/>
        <v>Apr</v>
      </c>
      <c r="H65">
        <f t="shared" si="7"/>
        <v>2021</v>
      </c>
      <c r="I65" t="str">
        <f t="shared" si="8"/>
        <v>Apr-2021</v>
      </c>
      <c r="J65" t="str">
        <f t="shared" si="9"/>
        <v>Q2</v>
      </c>
      <c r="K65" s="5">
        <v>26347</v>
      </c>
      <c r="L65">
        <v>89780</v>
      </c>
      <c r="M65">
        <v>97</v>
      </c>
      <c r="N65" s="5">
        <v>153267</v>
      </c>
      <c r="O65" s="5">
        <f t="shared" si="4"/>
        <v>114121.33333333333</v>
      </c>
      <c r="P65" s="5">
        <f t="shared" si="5"/>
        <v>117709.5</v>
      </c>
      <c r="Q65">
        <v>93</v>
      </c>
      <c r="R65">
        <v>55</v>
      </c>
      <c r="S65" t="s">
        <v>29</v>
      </c>
      <c r="T65" t="s">
        <v>22</v>
      </c>
    </row>
    <row r="66" spans="1:20" x14ac:dyDescent="0.3">
      <c r="A66" t="s">
        <v>94</v>
      </c>
      <c r="B66" t="s">
        <v>31</v>
      </c>
      <c r="C66" t="s">
        <v>16</v>
      </c>
      <c r="D66" t="s">
        <v>17</v>
      </c>
      <c r="E66" t="s">
        <v>18</v>
      </c>
      <c r="F66">
        <v>5</v>
      </c>
      <c r="G66" t="str">
        <f t="shared" ref="G66:G97" si="10">TEXT(DATE(2011,F66,1),"mmm")</f>
        <v>May</v>
      </c>
      <c r="H66">
        <f t="shared" ref="H66:H97" si="11">2016+INT((ROW(F66)-2)/12)</f>
        <v>2021</v>
      </c>
      <c r="I66" t="str">
        <f t="shared" ref="I66:I97" si="12">TEXT(EDATE(DATE(2016,1,1),ROW(G66)-2),"mmm-yyyy")</f>
        <v>May-2021</v>
      </c>
      <c r="J66" t="str">
        <f t="shared" ref="J66:J97" si="13">"Q"&amp;ROUNDUP(MONTH(DATEVALUE("1-"&amp;I66))/3,0)</f>
        <v>Q2</v>
      </c>
      <c r="K66" s="5">
        <v>26926</v>
      </c>
      <c r="L66">
        <v>89636</v>
      </c>
      <c r="M66">
        <v>76</v>
      </c>
      <c r="N66" s="5">
        <v>145608</v>
      </c>
      <c r="O66" s="5">
        <f t="shared" si="4"/>
        <v>123271.33333333333</v>
      </c>
      <c r="P66" s="5">
        <f t="shared" si="5"/>
        <v>121993</v>
      </c>
      <c r="Q66">
        <v>86</v>
      </c>
      <c r="R66">
        <v>78</v>
      </c>
      <c r="S66" t="s">
        <v>19</v>
      </c>
      <c r="T66" t="s">
        <v>20</v>
      </c>
    </row>
    <row r="67" spans="1:20" x14ac:dyDescent="0.3">
      <c r="A67" t="s">
        <v>95</v>
      </c>
      <c r="B67" t="s">
        <v>15</v>
      </c>
      <c r="C67" t="s">
        <v>34</v>
      </c>
      <c r="D67" t="s">
        <v>17</v>
      </c>
      <c r="E67" t="s">
        <v>18</v>
      </c>
      <c r="F67">
        <v>6</v>
      </c>
      <c r="G67" t="str">
        <f t="shared" si="10"/>
        <v>Jun</v>
      </c>
      <c r="H67">
        <f t="shared" si="11"/>
        <v>2021</v>
      </c>
      <c r="I67" t="str">
        <f t="shared" si="12"/>
        <v>Jun-2021</v>
      </c>
      <c r="J67" t="str">
        <f t="shared" si="13"/>
        <v>Q2</v>
      </c>
      <c r="K67" s="5">
        <v>8598</v>
      </c>
      <c r="L67">
        <v>34942</v>
      </c>
      <c r="M67">
        <v>173</v>
      </c>
      <c r="N67" s="5">
        <v>77751</v>
      </c>
      <c r="O67" s="5">
        <f t="shared" si="4"/>
        <v>125542</v>
      </c>
      <c r="P67" s="5">
        <f t="shared" si="5"/>
        <v>111891.25</v>
      </c>
      <c r="Q67">
        <v>59</v>
      </c>
      <c r="R67">
        <v>93</v>
      </c>
      <c r="S67" t="s">
        <v>19</v>
      </c>
      <c r="T67" t="s">
        <v>22</v>
      </c>
    </row>
    <row r="68" spans="1:20" x14ac:dyDescent="0.3">
      <c r="A68" t="s">
        <v>96</v>
      </c>
      <c r="B68" t="s">
        <v>15</v>
      </c>
      <c r="C68" t="s">
        <v>34</v>
      </c>
      <c r="D68" t="s">
        <v>17</v>
      </c>
      <c r="E68" t="s">
        <v>18</v>
      </c>
      <c r="F68">
        <v>7</v>
      </c>
      <c r="G68" t="str">
        <f t="shared" si="10"/>
        <v>Jul</v>
      </c>
      <c r="H68">
        <f t="shared" si="11"/>
        <v>2021</v>
      </c>
      <c r="I68" t="str">
        <f t="shared" si="12"/>
        <v>Jul-2021</v>
      </c>
      <c r="J68" t="str">
        <f t="shared" si="13"/>
        <v>Q3</v>
      </c>
      <c r="K68" s="5">
        <v>20964</v>
      </c>
      <c r="L68">
        <v>72783</v>
      </c>
      <c r="M68">
        <v>65</v>
      </c>
      <c r="N68" s="5">
        <v>122784</v>
      </c>
      <c r="O68" s="5">
        <f t="shared" si="4"/>
        <v>115381</v>
      </c>
      <c r="P68" s="5">
        <f t="shared" si="5"/>
        <v>124852.5</v>
      </c>
      <c r="Q68">
        <v>73</v>
      </c>
      <c r="R68">
        <v>82</v>
      </c>
      <c r="S68" t="s">
        <v>19</v>
      </c>
      <c r="T68" t="s">
        <v>22</v>
      </c>
    </row>
    <row r="69" spans="1:20" x14ac:dyDescent="0.3">
      <c r="A69" t="s">
        <v>97</v>
      </c>
      <c r="B69" t="s">
        <v>15</v>
      </c>
      <c r="C69" t="s">
        <v>25</v>
      </c>
      <c r="D69" t="s">
        <v>27</v>
      </c>
      <c r="E69" t="s">
        <v>28</v>
      </c>
      <c r="F69">
        <v>8</v>
      </c>
      <c r="G69" t="str">
        <f t="shared" si="10"/>
        <v>Aug</v>
      </c>
      <c r="H69">
        <f t="shared" si="11"/>
        <v>2021</v>
      </c>
      <c r="I69" t="str">
        <f t="shared" si="12"/>
        <v>Aug-2021</v>
      </c>
      <c r="J69" t="str">
        <f t="shared" si="13"/>
        <v>Q3</v>
      </c>
      <c r="K69" s="5">
        <v>6756</v>
      </c>
      <c r="L69">
        <v>31664</v>
      </c>
      <c r="M69">
        <v>155</v>
      </c>
      <c r="N69" s="5">
        <v>70565</v>
      </c>
      <c r="O69" s="5">
        <f t="shared" ref="O69:O121" si="14">AVERAGE(N67:N69)</f>
        <v>90366.666666666672</v>
      </c>
      <c r="P69" s="5">
        <f t="shared" si="5"/>
        <v>104177</v>
      </c>
      <c r="Q69">
        <v>46</v>
      </c>
      <c r="R69">
        <v>86</v>
      </c>
      <c r="S69" t="s">
        <v>19</v>
      </c>
      <c r="T69" t="s">
        <v>22</v>
      </c>
    </row>
    <row r="70" spans="1:20" x14ac:dyDescent="0.3">
      <c r="A70" t="s">
        <v>98</v>
      </c>
      <c r="B70" t="s">
        <v>24</v>
      </c>
      <c r="C70" t="s">
        <v>16</v>
      </c>
      <c r="D70" t="s">
        <v>17</v>
      </c>
      <c r="E70" t="s">
        <v>28</v>
      </c>
      <c r="F70">
        <v>9</v>
      </c>
      <c r="G70" t="str">
        <f t="shared" si="10"/>
        <v>Sep</v>
      </c>
      <c r="H70">
        <f t="shared" si="11"/>
        <v>2021</v>
      </c>
      <c r="I70" t="str">
        <f t="shared" si="12"/>
        <v>Sep-2021</v>
      </c>
      <c r="J70" t="str">
        <f t="shared" si="13"/>
        <v>Q3</v>
      </c>
      <c r="K70" s="5">
        <v>21788</v>
      </c>
      <c r="L70">
        <v>74431</v>
      </c>
      <c r="M70">
        <v>120</v>
      </c>
      <c r="N70" s="5">
        <v>142039</v>
      </c>
      <c r="O70" s="5">
        <f t="shared" si="14"/>
        <v>111796</v>
      </c>
      <c r="P70" s="5">
        <f t="shared" ref="P70:P121" si="15">AVERAGE(N67:N70)</f>
        <v>103284.75</v>
      </c>
      <c r="Q70">
        <v>96</v>
      </c>
      <c r="R70">
        <v>64</v>
      </c>
      <c r="S70" t="s">
        <v>29</v>
      </c>
      <c r="T70" t="s">
        <v>22</v>
      </c>
    </row>
    <row r="71" spans="1:20" x14ac:dyDescent="0.3">
      <c r="A71" t="s">
        <v>99</v>
      </c>
      <c r="B71" t="s">
        <v>33</v>
      </c>
      <c r="C71" t="s">
        <v>16</v>
      </c>
      <c r="D71" t="s">
        <v>17</v>
      </c>
      <c r="E71" t="s">
        <v>28</v>
      </c>
      <c r="F71">
        <v>10</v>
      </c>
      <c r="G71" t="str">
        <f t="shared" si="10"/>
        <v>Oct</v>
      </c>
      <c r="H71">
        <f t="shared" si="11"/>
        <v>2021</v>
      </c>
      <c r="I71" t="str">
        <f t="shared" si="12"/>
        <v>Oct-2021</v>
      </c>
      <c r="J71" t="str">
        <f t="shared" si="13"/>
        <v>Q4</v>
      </c>
      <c r="K71" s="5">
        <v>15868</v>
      </c>
      <c r="L71">
        <v>53686</v>
      </c>
      <c r="M71">
        <v>170</v>
      </c>
      <c r="N71" s="5">
        <v>108296</v>
      </c>
      <c r="O71" s="5">
        <f t="shared" si="14"/>
        <v>106966.66666666667</v>
      </c>
      <c r="P71" s="5">
        <f t="shared" si="15"/>
        <v>110921</v>
      </c>
      <c r="Q71">
        <v>69</v>
      </c>
      <c r="R71">
        <v>79</v>
      </c>
      <c r="S71" t="s">
        <v>19</v>
      </c>
      <c r="T71" t="s">
        <v>20</v>
      </c>
    </row>
    <row r="72" spans="1:20" x14ac:dyDescent="0.3">
      <c r="A72" t="s">
        <v>100</v>
      </c>
      <c r="B72" t="s">
        <v>33</v>
      </c>
      <c r="C72" t="s">
        <v>16</v>
      </c>
      <c r="D72" t="s">
        <v>27</v>
      </c>
      <c r="E72" t="s">
        <v>18</v>
      </c>
      <c r="F72">
        <v>11</v>
      </c>
      <c r="G72" t="str">
        <f t="shared" si="10"/>
        <v>Nov</v>
      </c>
      <c r="H72">
        <f t="shared" si="11"/>
        <v>2021</v>
      </c>
      <c r="I72" t="str">
        <f t="shared" si="12"/>
        <v>Nov-2021</v>
      </c>
      <c r="J72" t="str">
        <f t="shared" si="13"/>
        <v>Q4</v>
      </c>
      <c r="K72" s="5">
        <v>14631</v>
      </c>
      <c r="L72">
        <v>46519</v>
      </c>
      <c r="M72">
        <v>157</v>
      </c>
      <c r="N72" s="5">
        <v>87994</v>
      </c>
      <c r="O72" s="5">
        <f t="shared" si="14"/>
        <v>112776.33333333333</v>
      </c>
      <c r="P72" s="5">
        <f t="shared" si="15"/>
        <v>102223.5</v>
      </c>
      <c r="Q72">
        <v>57</v>
      </c>
      <c r="R72">
        <v>89</v>
      </c>
      <c r="S72" t="s">
        <v>19</v>
      </c>
      <c r="T72" t="s">
        <v>22</v>
      </c>
    </row>
    <row r="73" spans="1:20" x14ac:dyDescent="0.3">
      <c r="A73" t="s">
        <v>101</v>
      </c>
      <c r="B73" t="s">
        <v>24</v>
      </c>
      <c r="C73" t="s">
        <v>25</v>
      </c>
      <c r="D73" t="s">
        <v>17</v>
      </c>
      <c r="E73" t="s">
        <v>18</v>
      </c>
      <c r="F73">
        <v>12</v>
      </c>
      <c r="G73" t="str">
        <f t="shared" si="10"/>
        <v>Dec</v>
      </c>
      <c r="H73">
        <f t="shared" si="11"/>
        <v>2021</v>
      </c>
      <c r="I73" t="str">
        <f t="shared" si="12"/>
        <v>Dec-2021</v>
      </c>
      <c r="J73" t="str">
        <f t="shared" si="13"/>
        <v>Q4</v>
      </c>
      <c r="K73" s="5">
        <v>14339</v>
      </c>
      <c r="L73">
        <v>51743</v>
      </c>
      <c r="M73">
        <v>73</v>
      </c>
      <c r="N73" s="5">
        <v>90086</v>
      </c>
      <c r="O73" s="5">
        <f t="shared" si="14"/>
        <v>95458.666666666672</v>
      </c>
      <c r="P73" s="5">
        <f t="shared" si="15"/>
        <v>107103.75</v>
      </c>
      <c r="Q73">
        <v>64</v>
      </c>
      <c r="R73">
        <v>65</v>
      </c>
      <c r="S73" t="s">
        <v>29</v>
      </c>
      <c r="T73" t="s">
        <v>22</v>
      </c>
    </row>
    <row r="74" spans="1:20" x14ac:dyDescent="0.3">
      <c r="A74" t="s">
        <v>102</v>
      </c>
      <c r="B74" t="s">
        <v>33</v>
      </c>
      <c r="C74" t="s">
        <v>25</v>
      </c>
      <c r="D74" t="s">
        <v>27</v>
      </c>
      <c r="E74" t="s">
        <v>28</v>
      </c>
      <c r="F74">
        <v>1</v>
      </c>
      <c r="G74" t="str">
        <f t="shared" si="10"/>
        <v>Jan</v>
      </c>
      <c r="H74">
        <f t="shared" si="11"/>
        <v>2022</v>
      </c>
      <c r="I74" t="str">
        <f t="shared" si="12"/>
        <v>Jan-2022</v>
      </c>
      <c r="J74" t="str">
        <f t="shared" si="13"/>
        <v>Q1</v>
      </c>
      <c r="K74" s="5">
        <v>7965</v>
      </c>
      <c r="L74">
        <v>29824</v>
      </c>
      <c r="M74">
        <v>137</v>
      </c>
      <c r="N74" s="5">
        <v>55216</v>
      </c>
      <c r="O74" s="5">
        <f t="shared" si="14"/>
        <v>77765.333333333328</v>
      </c>
      <c r="P74" s="5">
        <f t="shared" si="15"/>
        <v>85398</v>
      </c>
      <c r="Q74">
        <v>50</v>
      </c>
      <c r="R74">
        <v>73</v>
      </c>
      <c r="S74" t="s">
        <v>19</v>
      </c>
      <c r="T74" t="s">
        <v>22</v>
      </c>
    </row>
    <row r="75" spans="1:20" x14ac:dyDescent="0.3">
      <c r="A75" t="s">
        <v>103</v>
      </c>
      <c r="B75" t="s">
        <v>31</v>
      </c>
      <c r="C75" t="s">
        <v>25</v>
      </c>
      <c r="D75" t="s">
        <v>17</v>
      </c>
      <c r="E75" t="s">
        <v>18</v>
      </c>
      <c r="F75">
        <v>2</v>
      </c>
      <c r="G75" t="str">
        <f t="shared" si="10"/>
        <v>Feb</v>
      </c>
      <c r="H75">
        <f t="shared" si="11"/>
        <v>2022</v>
      </c>
      <c r="I75" t="str">
        <f t="shared" si="12"/>
        <v>Feb-2022</v>
      </c>
      <c r="J75" t="str">
        <f t="shared" si="13"/>
        <v>Q1</v>
      </c>
      <c r="K75" s="5">
        <v>26866</v>
      </c>
      <c r="L75">
        <v>91053</v>
      </c>
      <c r="M75">
        <v>89</v>
      </c>
      <c r="N75" s="5">
        <v>165042</v>
      </c>
      <c r="O75" s="5">
        <f t="shared" si="14"/>
        <v>103448</v>
      </c>
      <c r="P75" s="5">
        <f t="shared" si="15"/>
        <v>99584.5</v>
      </c>
      <c r="Q75">
        <v>102</v>
      </c>
      <c r="R75">
        <v>63</v>
      </c>
      <c r="S75" t="s">
        <v>29</v>
      </c>
      <c r="T75" t="s">
        <v>22</v>
      </c>
    </row>
    <row r="76" spans="1:20" x14ac:dyDescent="0.3">
      <c r="A76" t="s">
        <v>104</v>
      </c>
      <c r="B76" t="s">
        <v>15</v>
      </c>
      <c r="C76" t="s">
        <v>25</v>
      </c>
      <c r="D76" t="s">
        <v>27</v>
      </c>
      <c r="E76" t="s">
        <v>28</v>
      </c>
      <c r="F76">
        <v>3</v>
      </c>
      <c r="G76" t="str">
        <f t="shared" si="10"/>
        <v>Mar</v>
      </c>
      <c r="H76">
        <f t="shared" si="11"/>
        <v>2022</v>
      </c>
      <c r="I76" t="str">
        <f t="shared" si="12"/>
        <v>Mar-2022</v>
      </c>
      <c r="J76" t="str">
        <f t="shared" si="13"/>
        <v>Q1</v>
      </c>
      <c r="K76" s="5">
        <v>18626</v>
      </c>
      <c r="L76">
        <v>63208</v>
      </c>
      <c r="M76">
        <v>75</v>
      </c>
      <c r="N76" s="5">
        <v>111209</v>
      </c>
      <c r="O76" s="5">
        <f t="shared" si="14"/>
        <v>110489</v>
      </c>
      <c r="P76" s="5">
        <f t="shared" si="15"/>
        <v>105388.25</v>
      </c>
      <c r="Q76">
        <v>69</v>
      </c>
      <c r="R76">
        <v>62</v>
      </c>
      <c r="S76" t="s">
        <v>29</v>
      </c>
      <c r="T76" t="s">
        <v>22</v>
      </c>
    </row>
    <row r="77" spans="1:20" x14ac:dyDescent="0.3">
      <c r="A77" t="s">
        <v>105</v>
      </c>
      <c r="B77" t="s">
        <v>31</v>
      </c>
      <c r="C77" t="s">
        <v>25</v>
      </c>
      <c r="D77" t="s">
        <v>17</v>
      </c>
      <c r="E77" t="s">
        <v>18</v>
      </c>
      <c r="F77">
        <v>4</v>
      </c>
      <c r="G77" t="str">
        <f t="shared" si="10"/>
        <v>Apr</v>
      </c>
      <c r="H77">
        <f t="shared" si="11"/>
        <v>2022</v>
      </c>
      <c r="I77" t="str">
        <f t="shared" si="12"/>
        <v>Apr-2022</v>
      </c>
      <c r="J77" t="str">
        <f t="shared" si="13"/>
        <v>Q2</v>
      </c>
      <c r="K77" s="5">
        <v>18400</v>
      </c>
      <c r="L77">
        <v>59478</v>
      </c>
      <c r="M77">
        <v>80</v>
      </c>
      <c r="N77" s="5">
        <v>115047</v>
      </c>
      <c r="O77" s="5">
        <f t="shared" si="14"/>
        <v>130432.66666666667</v>
      </c>
      <c r="P77" s="5">
        <f t="shared" si="15"/>
        <v>111628.5</v>
      </c>
      <c r="Q77">
        <v>74</v>
      </c>
      <c r="R77">
        <v>85</v>
      </c>
      <c r="S77" t="s">
        <v>19</v>
      </c>
      <c r="T77" t="s">
        <v>22</v>
      </c>
    </row>
    <row r="78" spans="1:20" x14ac:dyDescent="0.3">
      <c r="A78" t="s">
        <v>106</v>
      </c>
      <c r="B78" t="s">
        <v>15</v>
      </c>
      <c r="C78" t="s">
        <v>34</v>
      </c>
      <c r="D78" t="s">
        <v>27</v>
      </c>
      <c r="E78" t="s">
        <v>18</v>
      </c>
      <c r="F78">
        <v>5</v>
      </c>
      <c r="G78" t="str">
        <f t="shared" si="10"/>
        <v>May</v>
      </c>
      <c r="H78">
        <f t="shared" si="11"/>
        <v>2022</v>
      </c>
      <c r="I78" t="str">
        <f t="shared" si="12"/>
        <v>May-2022</v>
      </c>
      <c r="J78" t="str">
        <f t="shared" si="13"/>
        <v>Q2</v>
      </c>
      <c r="K78" s="5">
        <v>11193</v>
      </c>
      <c r="L78">
        <v>37721</v>
      </c>
      <c r="M78">
        <v>70</v>
      </c>
      <c r="N78" s="5">
        <v>71256</v>
      </c>
      <c r="O78" s="5">
        <f t="shared" si="14"/>
        <v>99170.666666666672</v>
      </c>
      <c r="P78" s="5">
        <f t="shared" si="15"/>
        <v>115638.5</v>
      </c>
      <c r="Q78">
        <v>51</v>
      </c>
      <c r="R78">
        <v>66</v>
      </c>
      <c r="S78" t="s">
        <v>29</v>
      </c>
      <c r="T78" t="s">
        <v>22</v>
      </c>
    </row>
    <row r="79" spans="1:20" x14ac:dyDescent="0.3">
      <c r="A79" t="s">
        <v>107</v>
      </c>
      <c r="B79" t="s">
        <v>31</v>
      </c>
      <c r="C79" t="s">
        <v>34</v>
      </c>
      <c r="D79" t="s">
        <v>17</v>
      </c>
      <c r="E79" t="s">
        <v>28</v>
      </c>
      <c r="F79">
        <v>6</v>
      </c>
      <c r="G79" t="str">
        <f t="shared" si="10"/>
        <v>Jun</v>
      </c>
      <c r="H79">
        <f t="shared" si="11"/>
        <v>2022</v>
      </c>
      <c r="I79" t="str">
        <f t="shared" si="12"/>
        <v>Jun-2022</v>
      </c>
      <c r="J79" t="str">
        <f t="shared" si="13"/>
        <v>Q2</v>
      </c>
      <c r="K79" s="5">
        <v>10978</v>
      </c>
      <c r="L79">
        <v>43228</v>
      </c>
      <c r="M79">
        <v>159</v>
      </c>
      <c r="N79" s="5">
        <v>81780</v>
      </c>
      <c r="O79" s="5">
        <f t="shared" si="14"/>
        <v>89361</v>
      </c>
      <c r="P79" s="5">
        <f t="shared" si="15"/>
        <v>94823</v>
      </c>
      <c r="Q79">
        <v>63</v>
      </c>
      <c r="R79">
        <v>88</v>
      </c>
      <c r="S79" t="s">
        <v>19</v>
      </c>
      <c r="T79" t="s">
        <v>22</v>
      </c>
    </row>
    <row r="80" spans="1:20" x14ac:dyDescent="0.3">
      <c r="A80" t="s">
        <v>108</v>
      </c>
      <c r="B80" t="s">
        <v>33</v>
      </c>
      <c r="C80" t="s">
        <v>38</v>
      </c>
      <c r="D80" t="s">
        <v>27</v>
      </c>
      <c r="E80" t="s">
        <v>18</v>
      </c>
      <c r="F80">
        <v>7</v>
      </c>
      <c r="G80" t="str">
        <f t="shared" si="10"/>
        <v>Jul</v>
      </c>
      <c r="H80">
        <f t="shared" si="11"/>
        <v>2022</v>
      </c>
      <c r="I80" t="str">
        <f t="shared" si="12"/>
        <v>Jul-2022</v>
      </c>
      <c r="J80" t="str">
        <f t="shared" si="13"/>
        <v>Q3</v>
      </c>
      <c r="K80" s="5">
        <v>13927</v>
      </c>
      <c r="L80">
        <v>44445</v>
      </c>
      <c r="M80">
        <v>158</v>
      </c>
      <c r="N80" s="5">
        <v>93884</v>
      </c>
      <c r="O80" s="5">
        <f t="shared" si="14"/>
        <v>82306.666666666672</v>
      </c>
      <c r="P80" s="5">
        <f t="shared" si="15"/>
        <v>90491.75</v>
      </c>
      <c r="Q80">
        <v>57</v>
      </c>
      <c r="R80">
        <v>55</v>
      </c>
      <c r="S80" t="s">
        <v>29</v>
      </c>
      <c r="T80" t="s">
        <v>22</v>
      </c>
    </row>
    <row r="81" spans="1:20" x14ac:dyDescent="0.3">
      <c r="A81" t="s">
        <v>109</v>
      </c>
      <c r="B81" t="s">
        <v>15</v>
      </c>
      <c r="C81" t="s">
        <v>38</v>
      </c>
      <c r="D81" t="s">
        <v>27</v>
      </c>
      <c r="E81" t="s">
        <v>28</v>
      </c>
      <c r="F81">
        <v>8</v>
      </c>
      <c r="G81" t="str">
        <f t="shared" si="10"/>
        <v>Aug</v>
      </c>
      <c r="H81">
        <f t="shared" si="11"/>
        <v>2022</v>
      </c>
      <c r="I81" t="str">
        <f t="shared" si="12"/>
        <v>Aug-2022</v>
      </c>
      <c r="J81" t="str">
        <f t="shared" si="13"/>
        <v>Q3</v>
      </c>
      <c r="K81" s="5">
        <v>29266</v>
      </c>
      <c r="L81">
        <v>96538</v>
      </c>
      <c r="M81">
        <v>167</v>
      </c>
      <c r="N81" s="5">
        <v>176417</v>
      </c>
      <c r="O81" s="5">
        <f t="shared" si="14"/>
        <v>117360.33333333333</v>
      </c>
      <c r="P81" s="5">
        <f t="shared" si="15"/>
        <v>105834.25</v>
      </c>
      <c r="Q81">
        <v>111</v>
      </c>
      <c r="R81">
        <v>74</v>
      </c>
      <c r="S81" t="s">
        <v>19</v>
      </c>
      <c r="T81" t="s">
        <v>22</v>
      </c>
    </row>
    <row r="82" spans="1:20" x14ac:dyDescent="0.3">
      <c r="A82" t="s">
        <v>110</v>
      </c>
      <c r="B82" t="s">
        <v>15</v>
      </c>
      <c r="C82" t="s">
        <v>16</v>
      </c>
      <c r="D82" t="s">
        <v>17</v>
      </c>
      <c r="E82" t="s">
        <v>28</v>
      </c>
      <c r="F82">
        <v>9</v>
      </c>
      <c r="G82" t="str">
        <f t="shared" si="10"/>
        <v>Sep</v>
      </c>
      <c r="H82">
        <f t="shared" si="11"/>
        <v>2022</v>
      </c>
      <c r="I82" t="str">
        <f t="shared" si="12"/>
        <v>Sep-2022</v>
      </c>
      <c r="J82" t="str">
        <f t="shared" si="13"/>
        <v>Q3</v>
      </c>
      <c r="K82" s="5">
        <v>16486</v>
      </c>
      <c r="L82">
        <v>60115</v>
      </c>
      <c r="M82">
        <v>100</v>
      </c>
      <c r="N82" s="5">
        <v>112544</v>
      </c>
      <c r="O82" s="5">
        <f t="shared" si="14"/>
        <v>127615</v>
      </c>
      <c r="P82" s="5">
        <f t="shared" si="15"/>
        <v>116156.25</v>
      </c>
      <c r="Q82">
        <v>75</v>
      </c>
      <c r="R82">
        <v>64</v>
      </c>
      <c r="S82" t="s">
        <v>29</v>
      </c>
      <c r="T82" t="s">
        <v>22</v>
      </c>
    </row>
    <row r="83" spans="1:20" x14ac:dyDescent="0.3">
      <c r="A83" t="s">
        <v>111</v>
      </c>
      <c r="B83" t="s">
        <v>15</v>
      </c>
      <c r="C83" t="s">
        <v>38</v>
      </c>
      <c r="D83" t="s">
        <v>17</v>
      </c>
      <c r="E83" t="s">
        <v>28</v>
      </c>
      <c r="F83">
        <v>10</v>
      </c>
      <c r="G83" t="str">
        <f t="shared" si="10"/>
        <v>Oct</v>
      </c>
      <c r="H83">
        <f t="shared" si="11"/>
        <v>2022</v>
      </c>
      <c r="I83" t="str">
        <f t="shared" si="12"/>
        <v>Oct-2022</v>
      </c>
      <c r="J83" t="str">
        <f t="shared" si="13"/>
        <v>Q4</v>
      </c>
      <c r="K83" s="5">
        <v>26092</v>
      </c>
      <c r="L83">
        <v>84299</v>
      </c>
      <c r="M83">
        <v>53</v>
      </c>
      <c r="N83" s="5">
        <v>131540</v>
      </c>
      <c r="O83" s="5">
        <f t="shared" si="14"/>
        <v>140167</v>
      </c>
      <c r="P83" s="5">
        <f t="shared" si="15"/>
        <v>128596.25</v>
      </c>
      <c r="Q83">
        <v>80</v>
      </c>
      <c r="R83">
        <v>65</v>
      </c>
      <c r="S83" t="s">
        <v>29</v>
      </c>
      <c r="T83" t="s">
        <v>22</v>
      </c>
    </row>
    <row r="84" spans="1:20" x14ac:dyDescent="0.3">
      <c r="A84" t="s">
        <v>112</v>
      </c>
      <c r="B84" t="s">
        <v>33</v>
      </c>
      <c r="C84" t="s">
        <v>25</v>
      </c>
      <c r="D84" t="s">
        <v>17</v>
      </c>
      <c r="E84" t="s">
        <v>18</v>
      </c>
      <c r="F84">
        <v>11</v>
      </c>
      <c r="G84" t="str">
        <f t="shared" si="10"/>
        <v>Nov</v>
      </c>
      <c r="H84">
        <f t="shared" si="11"/>
        <v>2022</v>
      </c>
      <c r="I84" t="str">
        <f t="shared" si="12"/>
        <v>Nov-2022</v>
      </c>
      <c r="J84" t="str">
        <f t="shared" si="13"/>
        <v>Q4</v>
      </c>
      <c r="K84" s="5">
        <v>7238</v>
      </c>
      <c r="L84">
        <v>33483</v>
      </c>
      <c r="M84">
        <v>49</v>
      </c>
      <c r="N84" s="5">
        <v>50491</v>
      </c>
      <c r="O84" s="5">
        <f t="shared" si="14"/>
        <v>98191.666666666672</v>
      </c>
      <c r="P84" s="5">
        <f t="shared" si="15"/>
        <v>117748</v>
      </c>
      <c r="Q84">
        <v>46</v>
      </c>
      <c r="R84">
        <v>81</v>
      </c>
      <c r="S84" t="s">
        <v>19</v>
      </c>
      <c r="T84" t="s">
        <v>22</v>
      </c>
    </row>
    <row r="85" spans="1:20" x14ac:dyDescent="0.3">
      <c r="A85" t="s">
        <v>113</v>
      </c>
      <c r="B85" t="s">
        <v>33</v>
      </c>
      <c r="C85" t="s">
        <v>25</v>
      </c>
      <c r="D85" t="s">
        <v>27</v>
      </c>
      <c r="E85" t="s">
        <v>18</v>
      </c>
      <c r="F85">
        <v>12</v>
      </c>
      <c r="G85" t="str">
        <f t="shared" si="10"/>
        <v>Dec</v>
      </c>
      <c r="H85">
        <f t="shared" si="11"/>
        <v>2022</v>
      </c>
      <c r="I85" t="str">
        <f t="shared" si="12"/>
        <v>Dec-2022</v>
      </c>
      <c r="J85" t="str">
        <f t="shared" si="13"/>
        <v>Q4</v>
      </c>
      <c r="K85" s="5">
        <v>14831</v>
      </c>
      <c r="L85">
        <v>49842</v>
      </c>
      <c r="M85">
        <v>125</v>
      </c>
      <c r="N85" s="5">
        <v>90467</v>
      </c>
      <c r="O85" s="5">
        <f t="shared" si="14"/>
        <v>90832.666666666672</v>
      </c>
      <c r="P85" s="5">
        <f t="shared" si="15"/>
        <v>96260.5</v>
      </c>
      <c r="Q85">
        <v>69</v>
      </c>
      <c r="R85">
        <v>68</v>
      </c>
      <c r="S85" t="s">
        <v>29</v>
      </c>
      <c r="T85" t="s">
        <v>22</v>
      </c>
    </row>
    <row r="86" spans="1:20" x14ac:dyDescent="0.3">
      <c r="A86" t="s">
        <v>114</v>
      </c>
      <c r="B86" t="s">
        <v>31</v>
      </c>
      <c r="C86" t="s">
        <v>25</v>
      </c>
      <c r="D86" t="s">
        <v>27</v>
      </c>
      <c r="E86" t="s">
        <v>28</v>
      </c>
      <c r="F86">
        <v>1</v>
      </c>
      <c r="G86" t="str">
        <f t="shared" si="10"/>
        <v>Jan</v>
      </c>
      <c r="H86">
        <f t="shared" si="11"/>
        <v>2023</v>
      </c>
      <c r="I86" t="str">
        <f t="shared" si="12"/>
        <v>Jan-2023</v>
      </c>
      <c r="J86" t="str">
        <f t="shared" si="13"/>
        <v>Q1</v>
      </c>
      <c r="K86" s="5">
        <v>7220</v>
      </c>
      <c r="L86">
        <v>29731</v>
      </c>
      <c r="M86">
        <v>149</v>
      </c>
      <c r="N86" s="5">
        <v>60702</v>
      </c>
      <c r="O86" s="5">
        <f t="shared" si="14"/>
        <v>67220</v>
      </c>
      <c r="P86" s="5">
        <f t="shared" si="15"/>
        <v>83300</v>
      </c>
      <c r="Q86">
        <v>38</v>
      </c>
      <c r="R86">
        <v>73</v>
      </c>
      <c r="S86" t="s">
        <v>19</v>
      </c>
      <c r="T86" t="s">
        <v>22</v>
      </c>
    </row>
    <row r="87" spans="1:20" x14ac:dyDescent="0.3">
      <c r="A87" t="s">
        <v>115</v>
      </c>
      <c r="B87" t="s">
        <v>24</v>
      </c>
      <c r="C87" t="s">
        <v>34</v>
      </c>
      <c r="D87" t="s">
        <v>27</v>
      </c>
      <c r="E87" t="s">
        <v>18</v>
      </c>
      <c r="F87">
        <v>2</v>
      </c>
      <c r="G87" t="str">
        <f t="shared" si="10"/>
        <v>Feb</v>
      </c>
      <c r="H87">
        <f t="shared" si="11"/>
        <v>2023</v>
      </c>
      <c r="I87" t="str">
        <f t="shared" si="12"/>
        <v>Feb-2023</v>
      </c>
      <c r="J87" t="str">
        <f t="shared" si="13"/>
        <v>Q1</v>
      </c>
      <c r="K87" s="5">
        <v>23504</v>
      </c>
      <c r="L87">
        <v>80963</v>
      </c>
      <c r="M87">
        <v>159</v>
      </c>
      <c r="N87" s="5">
        <v>132627</v>
      </c>
      <c r="O87" s="5">
        <f t="shared" si="14"/>
        <v>94598.666666666672</v>
      </c>
      <c r="P87" s="5">
        <f t="shared" si="15"/>
        <v>83571.75</v>
      </c>
      <c r="Q87">
        <v>90</v>
      </c>
      <c r="R87">
        <v>57</v>
      </c>
      <c r="S87" t="s">
        <v>29</v>
      </c>
      <c r="T87" t="s">
        <v>20</v>
      </c>
    </row>
    <row r="88" spans="1:20" x14ac:dyDescent="0.3">
      <c r="A88" t="s">
        <v>116</v>
      </c>
      <c r="B88" t="s">
        <v>15</v>
      </c>
      <c r="C88" t="s">
        <v>34</v>
      </c>
      <c r="D88" t="s">
        <v>17</v>
      </c>
      <c r="E88" t="s">
        <v>18</v>
      </c>
      <c r="F88">
        <v>3</v>
      </c>
      <c r="G88" t="str">
        <f t="shared" si="10"/>
        <v>Mar</v>
      </c>
      <c r="H88">
        <f t="shared" si="11"/>
        <v>2023</v>
      </c>
      <c r="I88" t="str">
        <f t="shared" si="12"/>
        <v>Mar-2023</v>
      </c>
      <c r="J88" t="str">
        <f t="shared" si="13"/>
        <v>Q1</v>
      </c>
      <c r="K88" s="5">
        <v>13100</v>
      </c>
      <c r="L88">
        <v>48692</v>
      </c>
      <c r="M88">
        <v>139</v>
      </c>
      <c r="N88" s="5">
        <v>74733</v>
      </c>
      <c r="O88" s="5">
        <f t="shared" si="14"/>
        <v>89354</v>
      </c>
      <c r="P88" s="5">
        <f t="shared" si="15"/>
        <v>89632.25</v>
      </c>
      <c r="Q88">
        <v>54</v>
      </c>
      <c r="R88">
        <v>76</v>
      </c>
      <c r="S88" t="s">
        <v>19</v>
      </c>
      <c r="T88" t="s">
        <v>22</v>
      </c>
    </row>
    <row r="89" spans="1:20" x14ac:dyDescent="0.3">
      <c r="A89" t="s">
        <v>117</v>
      </c>
      <c r="B89" t="s">
        <v>24</v>
      </c>
      <c r="C89" t="s">
        <v>34</v>
      </c>
      <c r="D89" t="s">
        <v>17</v>
      </c>
      <c r="E89" t="s">
        <v>18</v>
      </c>
      <c r="F89">
        <v>4</v>
      </c>
      <c r="G89" t="str">
        <f t="shared" si="10"/>
        <v>Apr</v>
      </c>
      <c r="H89">
        <f t="shared" si="11"/>
        <v>2023</v>
      </c>
      <c r="I89" t="str">
        <f t="shared" si="12"/>
        <v>Apr-2023</v>
      </c>
      <c r="J89" t="str">
        <f t="shared" si="13"/>
        <v>Q2</v>
      </c>
      <c r="K89" s="5">
        <v>10625</v>
      </c>
      <c r="L89">
        <v>38736</v>
      </c>
      <c r="M89">
        <v>178</v>
      </c>
      <c r="N89" s="5">
        <v>93653</v>
      </c>
      <c r="O89" s="5">
        <f t="shared" si="14"/>
        <v>100337.66666666667</v>
      </c>
      <c r="P89" s="5">
        <f t="shared" si="15"/>
        <v>90428.75</v>
      </c>
      <c r="Q89">
        <v>69</v>
      </c>
      <c r="R89">
        <v>69</v>
      </c>
      <c r="S89" t="s">
        <v>29</v>
      </c>
      <c r="T89" t="s">
        <v>22</v>
      </c>
    </row>
    <row r="90" spans="1:20" x14ac:dyDescent="0.3">
      <c r="A90" t="s">
        <v>118</v>
      </c>
      <c r="B90" t="s">
        <v>33</v>
      </c>
      <c r="C90" t="s">
        <v>34</v>
      </c>
      <c r="D90" t="s">
        <v>17</v>
      </c>
      <c r="E90" t="s">
        <v>28</v>
      </c>
      <c r="F90">
        <v>5</v>
      </c>
      <c r="G90" t="str">
        <f t="shared" si="10"/>
        <v>May</v>
      </c>
      <c r="H90">
        <f t="shared" si="11"/>
        <v>2023</v>
      </c>
      <c r="I90" t="str">
        <f t="shared" si="12"/>
        <v>May-2023</v>
      </c>
      <c r="J90" t="str">
        <f t="shared" si="13"/>
        <v>Q2</v>
      </c>
      <c r="K90" s="5">
        <v>16125</v>
      </c>
      <c r="L90">
        <v>53329</v>
      </c>
      <c r="M90">
        <v>131</v>
      </c>
      <c r="N90" s="5">
        <v>99783</v>
      </c>
      <c r="O90" s="5">
        <f t="shared" si="14"/>
        <v>89389.666666666672</v>
      </c>
      <c r="P90" s="5">
        <f t="shared" si="15"/>
        <v>100199</v>
      </c>
      <c r="Q90">
        <v>66</v>
      </c>
      <c r="R90">
        <v>92</v>
      </c>
      <c r="S90" t="s">
        <v>19</v>
      </c>
      <c r="T90" t="s">
        <v>22</v>
      </c>
    </row>
    <row r="91" spans="1:20" x14ac:dyDescent="0.3">
      <c r="A91" t="s">
        <v>119</v>
      </c>
      <c r="B91" t="s">
        <v>33</v>
      </c>
      <c r="C91" t="s">
        <v>38</v>
      </c>
      <c r="D91" t="s">
        <v>27</v>
      </c>
      <c r="E91" t="s">
        <v>28</v>
      </c>
      <c r="F91">
        <v>6</v>
      </c>
      <c r="G91" t="str">
        <f t="shared" si="10"/>
        <v>Jun</v>
      </c>
      <c r="H91">
        <f t="shared" si="11"/>
        <v>2023</v>
      </c>
      <c r="I91" t="str">
        <f t="shared" si="12"/>
        <v>Jun-2023</v>
      </c>
      <c r="J91" t="str">
        <f t="shared" si="13"/>
        <v>Q2</v>
      </c>
      <c r="K91" s="5">
        <v>27931</v>
      </c>
      <c r="L91">
        <v>93694</v>
      </c>
      <c r="M91">
        <v>48</v>
      </c>
      <c r="N91" s="5">
        <v>137237</v>
      </c>
      <c r="O91" s="5">
        <f t="shared" si="14"/>
        <v>110224.33333333333</v>
      </c>
      <c r="P91" s="5">
        <f t="shared" si="15"/>
        <v>101351.5</v>
      </c>
      <c r="Q91">
        <v>95</v>
      </c>
      <c r="R91">
        <v>69</v>
      </c>
      <c r="S91" t="s">
        <v>29</v>
      </c>
      <c r="T91" t="s">
        <v>20</v>
      </c>
    </row>
    <row r="92" spans="1:20" x14ac:dyDescent="0.3">
      <c r="A92" t="s">
        <v>120</v>
      </c>
      <c r="B92" t="s">
        <v>31</v>
      </c>
      <c r="C92" t="s">
        <v>38</v>
      </c>
      <c r="D92" t="s">
        <v>27</v>
      </c>
      <c r="E92" t="s">
        <v>28</v>
      </c>
      <c r="F92">
        <v>7</v>
      </c>
      <c r="G92" t="str">
        <f t="shared" si="10"/>
        <v>Jul</v>
      </c>
      <c r="H92">
        <f t="shared" si="11"/>
        <v>2023</v>
      </c>
      <c r="I92" t="str">
        <f t="shared" si="12"/>
        <v>Jul-2023</v>
      </c>
      <c r="J92" t="str">
        <f t="shared" si="13"/>
        <v>Q3</v>
      </c>
      <c r="K92" s="5">
        <v>6635</v>
      </c>
      <c r="L92">
        <v>23609</v>
      </c>
      <c r="M92">
        <v>68</v>
      </c>
      <c r="N92" s="5">
        <v>53590</v>
      </c>
      <c r="O92" s="5">
        <f t="shared" si="14"/>
        <v>96870</v>
      </c>
      <c r="P92" s="5">
        <f t="shared" si="15"/>
        <v>96065.75</v>
      </c>
      <c r="Q92">
        <v>38</v>
      </c>
      <c r="R92">
        <v>57</v>
      </c>
      <c r="S92" t="s">
        <v>29</v>
      </c>
      <c r="T92" t="s">
        <v>22</v>
      </c>
    </row>
    <row r="93" spans="1:20" x14ac:dyDescent="0.3">
      <c r="A93" t="s">
        <v>121</v>
      </c>
      <c r="B93" t="s">
        <v>31</v>
      </c>
      <c r="C93" t="s">
        <v>25</v>
      </c>
      <c r="D93" t="s">
        <v>27</v>
      </c>
      <c r="E93" t="s">
        <v>18</v>
      </c>
      <c r="F93">
        <v>8</v>
      </c>
      <c r="G93" t="str">
        <f t="shared" si="10"/>
        <v>Aug</v>
      </c>
      <c r="H93">
        <f t="shared" si="11"/>
        <v>2023</v>
      </c>
      <c r="I93" t="str">
        <f t="shared" si="12"/>
        <v>Aug-2023</v>
      </c>
      <c r="J93" t="str">
        <f t="shared" si="13"/>
        <v>Q3</v>
      </c>
      <c r="K93" s="5">
        <v>25571</v>
      </c>
      <c r="L93">
        <v>81575</v>
      </c>
      <c r="M93">
        <v>94</v>
      </c>
      <c r="N93" s="5">
        <v>141943</v>
      </c>
      <c r="O93" s="5">
        <f t="shared" si="14"/>
        <v>110923.33333333333</v>
      </c>
      <c r="P93" s="5">
        <f t="shared" si="15"/>
        <v>108138.25</v>
      </c>
      <c r="Q93">
        <v>86</v>
      </c>
      <c r="R93">
        <v>84</v>
      </c>
      <c r="S93" t="s">
        <v>19</v>
      </c>
      <c r="T93" t="s">
        <v>20</v>
      </c>
    </row>
    <row r="94" spans="1:20" x14ac:dyDescent="0.3">
      <c r="A94" t="s">
        <v>122</v>
      </c>
      <c r="B94" t="s">
        <v>33</v>
      </c>
      <c r="C94" t="s">
        <v>25</v>
      </c>
      <c r="D94" t="s">
        <v>27</v>
      </c>
      <c r="E94" t="s">
        <v>28</v>
      </c>
      <c r="F94">
        <v>9</v>
      </c>
      <c r="G94" t="str">
        <f t="shared" si="10"/>
        <v>Sep</v>
      </c>
      <c r="H94">
        <f t="shared" si="11"/>
        <v>2023</v>
      </c>
      <c r="I94" t="str">
        <f t="shared" si="12"/>
        <v>Sep-2023</v>
      </c>
      <c r="J94" t="str">
        <f t="shared" si="13"/>
        <v>Q3</v>
      </c>
      <c r="K94" s="5">
        <v>27384</v>
      </c>
      <c r="L94">
        <v>86366</v>
      </c>
      <c r="M94">
        <v>176</v>
      </c>
      <c r="N94" s="5">
        <v>166277</v>
      </c>
      <c r="O94" s="5">
        <f t="shared" si="14"/>
        <v>120603.33333333333</v>
      </c>
      <c r="P94" s="5">
        <f t="shared" si="15"/>
        <v>124761.75</v>
      </c>
      <c r="Q94">
        <v>112</v>
      </c>
      <c r="R94">
        <v>98</v>
      </c>
      <c r="S94" t="s">
        <v>19</v>
      </c>
      <c r="T94" t="s">
        <v>22</v>
      </c>
    </row>
    <row r="95" spans="1:20" x14ac:dyDescent="0.3">
      <c r="A95" t="s">
        <v>123</v>
      </c>
      <c r="B95" t="s">
        <v>24</v>
      </c>
      <c r="C95" t="s">
        <v>34</v>
      </c>
      <c r="D95" t="s">
        <v>27</v>
      </c>
      <c r="E95" t="s">
        <v>18</v>
      </c>
      <c r="F95">
        <v>10</v>
      </c>
      <c r="G95" t="str">
        <f t="shared" si="10"/>
        <v>Oct</v>
      </c>
      <c r="H95">
        <f t="shared" si="11"/>
        <v>2023</v>
      </c>
      <c r="I95" t="str">
        <f t="shared" si="12"/>
        <v>Oct-2023</v>
      </c>
      <c r="J95" t="str">
        <f t="shared" si="13"/>
        <v>Q4</v>
      </c>
      <c r="K95" s="5">
        <v>12890</v>
      </c>
      <c r="L95">
        <v>48516</v>
      </c>
      <c r="M95">
        <v>49</v>
      </c>
      <c r="N95" s="5">
        <v>66899</v>
      </c>
      <c r="O95" s="5">
        <f t="shared" si="14"/>
        <v>125039.66666666667</v>
      </c>
      <c r="P95" s="5">
        <f t="shared" si="15"/>
        <v>107177.25</v>
      </c>
      <c r="Q95">
        <v>51</v>
      </c>
      <c r="R95">
        <v>78</v>
      </c>
      <c r="S95" t="s">
        <v>19</v>
      </c>
      <c r="T95" t="s">
        <v>22</v>
      </c>
    </row>
    <row r="96" spans="1:20" x14ac:dyDescent="0.3">
      <c r="A96" t="s">
        <v>124</v>
      </c>
      <c r="B96" t="s">
        <v>31</v>
      </c>
      <c r="C96" t="s">
        <v>34</v>
      </c>
      <c r="D96" t="s">
        <v>27</v>
      </c>
      <c r="E96" t="s">
        <v>18</v>
      </c>
      <c r="F96">
        <v>11</v>
      </c>
      <c r="G96" t="str">
        <f t="shared" si="10"/>
        <v>Nov</v>
      </c>
      <c r="H96">
        <f t="shared" si="11"/>
        <v>2023</v>
      </c>
      <c r="I96" t="str">
        <f t="shared" si="12"/>
        <v>Nov-2023</v>
      </c>
      <c r="J96" t="str">
        <f t="shared" si="13"/>
        <v>Q4</v>
      </c>
      <c r="K96" s="5">
        <v>24085</v>
      </c>
      <c r="L96">
        <v>79027</v>
      </c>
      <c r="M96">
        <v>117</v>
      </c>
      <c r="N96" s="5">
        <v>148293</v>
      </c>
      <c r="O96" s="5">
        <f t="shared" si="14"/>
        <v>127156.33333333333</v>
      </c>
      <c r="P96" s="5">
        <f t="shared" si="15"/>
        <v>130853</v>
      </c>
      <c r="Q96">
        <v>101</v>
      </c>
      <c r="R96">
        <v>65</v>
      </c>
      <c r="S96" t="s">
        <v>29</v>
      </c>
      <c r="T96" t="s">
        <v>22</v>
      </c>
    </row>
    <row r="97" spans="1:20" x14ac:dyDescent="0.3">
      <c r="A97" t="s">
        <v>125</v>
      </c>
      <c r="B97" t="s">
        <v>24</v>
      </c>
      <c r="C97" t="s">
        <v>25</v>
      </c>
      <c r="D97" t="s">
        <v>17</v>
      </c>
      <c r="E97" t="s">
        <v>18</v>
      </c>
      <c r="F97">
        <v>12</v>
      </c>
      <c r="G97" t="str">
        <f t="shared" si="10"/>
        <v>Dec</v>
      </c>
      <c r="H97">
        <f t="shared" si="11"/>
        <v>2023</v>
      </c>
      <c r="I97" t="str">
        <f t="shared" si="12"/>
        <v>Dec-2023</v>
      </c>
      <c r="J97" t="str">
        <f t="shared" si="13"/>
        <v>Q4</v>
      </c>
      <c r="K97" s="5">
        <v>16984</v>
      </c>
      <c r="L97">
        <v>54981</v>
      </c>
      <c r="M97">
        <v>129</v>
      </c>
      <c r="N97" s="5">
        <v>109480</v>
      </c>
      <c r="O97" s="5">
        <f t="shared" si="14"/>
        <v>108224</v>
      </c>
      <c r="P97" s="5">
        <f t="shared" si="15"/>
        <v>122737.25</v>
      </c>
      <c r="Q97">
        <v>66</v>
      </c>
      <c r="R97">
        <v>73</v>
      </c>
      <c r="S97" t="s">
        <v>19</v>
      </c>
      <c r="T97" t="s">
        <v>22</v>
      </c>
    </row>
    <row r="98" spans="1:20" x14ac:dyDescent="0.3">
      <c r="A98" t="s">
        <v>126</v>
      </c>
      <c r="B98" t="s">
        <v>31</v>
      </c>
      <c r="C98" t="s">
        <v>38</v>
      </c>
      <c r="D98" t="s">
        <v>17</v>
      </c>
      <c r="E98" t="s">
        <v>28</v>
      </c>
      <c r="F98">
        <v>1</v>
      </c>
      <c r="G98" t="str">
        <f t="shared" ref="G98:G129" si="16">TEXT(DATE(2011,F98,1),"mmm")</f>
        <v>Jan</v>
      </c>
      <c r="H98">
        <f t="shared" ref="H98:H121" si="17">2016+INT((ROW(F98)-2)/12)</f>
        <v>2024</v>
      </c>
      <c r="I98" t="str">
        <f t="shared" ref="I98:I121" si="18">TEXT(EDATE(DATE(2016,1,1),ROW(G98)-2),"mmm-yyyy")</f>
        <v>Jan-2024</v>
      </c>
      <c r="J98" t="str">
        <f t="shared" ref="J98:J129" si="19">"Q"&amp;ROUNDUP(MONTH(DATEVALUE("1-"&amp;I98))/3,0)</f>
        <v>Q1</v>
      </c>
      <c r="K98" s="5">
        <v>18725</v>
      </c>
      <c r="L98">
        <v>61857</v>
      </c>
      <c r="M98">
        <v>106</v>
      </c>
      <c r="N98" s="5">
        <v>97727</v>
      </c>
      <c r="O98" s="5">
        <f t="shared" si="14"/>
        <v>118500</v>
      </c>
      <c r="P98" s="5">
        <f t="shared" si="15"/>
        <v>105599.75</v>
      </c>
      <c r="Q98">
        <v>68</v>
      </c>
      <c r="R98">
        <v>59</v>
      </c>
      <c r="S98" t="s">
        <v>29</v>
      </c>
      <c r="T98" t="s">
        <v>22</v>
      </c>
    </row>
    <row r="99" spans="1:20" x14ac:dyDescent="0.3">
      <c r="A99" t="s">
        <v>127</v>
      </c>
      <c r="B99" t="s">
        <v>33</v>
      </c>
      <c r="C99" t="s">
        <v>16</v>
      </c>
      <c r="D99" t="s">
        <v>17</v>
      </c>
      <c r="E99" t="s">
        <v>18</v>
      </c>
      <c r="F99">
        <v>2</v>
      </c>
      <c r="G99" t="str">
        <f t="shared" si="16"/>
        <v>Feb</v>
      </c>
      <c r="H99">
        <f t="shared" si="17"/>
        <v>2024</v>
      </c>
      <c r="I99" t="str">
        <f t="shared" si="18"/>
        <v>Feb-2024</v>
      </c>
      <c r="J99" t="str">
        <f t="shared" si="19"/>
        <v>Q1</v>
      </c>
      <c r="K99" s="5">
        <v>19724</v>
      </c>
      <c r="L99">
        <v>70426</v>
      </c>
      <c r="M99">
        <v>178</v>
      </c>
      <c r="N99" s="5">
        <v>119205</v>
      </c>
      <c r="O99" s="5">
        <f t="shared" si="14"/>
        <v>108804</v>
      </c>
      <c r="P99" s="5">
        <f t="shared" si="15"/>
        <v>118676.25</v>
      </c>
      <c r="Q99">
        <v>71</v>
      </c>
      <c r="R99">
        <v>97</v>
      </c>
      <c r="S99" t="s">
        <v>19</v>
      </c>
      <c r="T99" t="s">
        <v>22</v>
      </c>
    </row>
    <row r="100" spans="1:20" x14ac:dyDescent="0.3">
      <c r="A100" t="s">
        <v>128</v>
      </c>
      <c r="B100" t="s">
        <v>24</v>
      </c>
      <c r="C100" t="s">
        <v>16</v>
      </c>
      <c r="D100" t="s">
        <v>27</v>
      </c>
      <c r="E100" t="s">
        <v>18</v>
      </c>
      <c r="F100">
        <v>3</v>
      </c>
      <c r="G100" t="str">
        <f t="shared" si="16"/>
        <v>Mar</v>
      </c>
      <c r="H100">
        <f t="shared" si="17"/>
        <v>2024</v>
      </c>
      <c r="I100" t="str">
        <f t="shared" si="18"/>
        <v>Mar-2024</v>
      </c>
      <c r="J100" t="str">
        <f t="shared" si="19"/>
        <v>Q1</v>
      </c>
      <c r="K100" s="5">
        <v>20105</v>
      </c>
      <c r="L100">
        <v>67443</v>
      </c>
      <c r="M100">
        <v>59</v>
      </c>
      <c r="N100" s="5">
        <v>106892</v>
      </c>
      <c r="O100" s="5">
        <f t="shared" si="14"/>
        <v>107941.33333333333</v>
      </c>
      <c r="P100" s="5">
        <f t="shared" si="15"/>
        <v>108326</v>
      </c>
      <c r="Q100">
        <v>76</v>
      </c>
      <c r="R100">
        <v>66</v>
      </c>
      <c r="S100" t="s">
        <v>29</v>
      </c>
      <c r="T100" t="s">
        <v>22</v>
      </c>
    </row>
    <row r="101" spans="1:20" x14ac:dyDescent="0.3">
      <c r="A101" t="s">
        <v>129</v>
      </c>
      <c r="B101" t="s">
        <v>33</v>
      </c>
      <c r="C101" t="s">
        <v>25</v>
      </c>
      <c r="D101" t="s">
        <v>17</v>
      </c>
      <c r="E101" t="s">
        <v>28</v>
      </c>
      <c r="F101">
        <v>4</v>
      </c>
      <c r="G101" t="str">
        <f t="shared" si="16"/>
        <v>Apr</v>
      </c>
      <c r="H101">
        <f t="shared" si="17"/>
        <v>2024</v>
      </c>
      <c r="I101" t="str">
        <f t="shared" si="18"/>
        <v>Apr-2024</v>
      </c>
      <c r="J101" t="str">
        <f t="shared" si="19"/>
        <v>Q2</v>
      </c>
      <c r="K101" s="5">
        <v>8595</v>
      </c>
      <c r="L101">
        <v>29139</v>
      </c>
      <c r="M101">
        <v>147</v>
      </c>
      <c r="N101" s="5">
        <v>62723</v>
      </c>
      <c r="O101" s="5">
        <f t="shared" si="14"/>
        <v>96273.333333333328</v>
      </c>
      <c r="P101" s="5">
        <f t="shared" si="15"/>
        <v>96636.75</v>
      </c>
      <c r="Q101">
        <v>49</v>
      </c>
      <c r="R101">
        <v>76</v>
      </c>
      <c r="S101" t="s">
        <v>19</v>
      </c>
      <c r="T101" t="s">
        <v>22</v>
      </c>
    </row>
    <row r="102" spans="1:20" x14ac:dyDescent="0.3">
      <c r="A102" t="s">
        <v>130</v>
      </c>
      <c r="B102" t="s">
        <v>33</v>
      </c>
      <c r="C102" t="s">
        <v>34</v>
      </c>
      <c r="D102" t="s">
        <v>17</v>
      </c>
      <c r="E102" t="s">
        <v>28</v>
      </c>
      <c r="F102">
        <v>5</v>
      </c>
      <c r="G102" t="str">
        <f t="shared" si="16"/>
        <v>May</v>
      </c>
      <c r="H102">
        <f t="shared" si="17"/>
        <v>2024</v>
      </c>
      <c r="I102" t="str">
        <f t="shared" si="18"/>
        <v>May-2024</v>
      </c>
      <c r="J102" t="str">
        <f t="shared" si="19"/>
        <v>Q2</v>
      </c>
      <c r="K102" s="5">
        <v>18383</v>
      </c>
      <c r="L102">
        <v>60167</v>
      </c>
      <c r="M102">
        <v>83</v>
      </c>
      <c r="N102" s="5">
        <v>92035</v>
      </c>
      <c r="O102" s="5">
        <f t="shared" si="14"/>
        <v>87216.666666666672</v>
      </c>
      <c r="P102" s="5">
        <f t="shared" si="15"/>
        <v>95213.75</v>
      </c>
      <c r="Q102">
        <v>65</v>
      </c>
      <c r="R102">
        <v>70</v>
      </c>
      <c r="S102" t="s">
        <v>19</v>
      </c>
      <c r="T102" t="s">
        <v>22</v>
      </c>
    </row>
    <row r="103" spans="1:20" x14ac:dyDescent="0.3">
      <c r="A103" t="s">
        <v>131</v>
      </c>
      <c r="B103" t="s">
        <v>15</v>
      </c>
      <c r="C103" t="s">
        <v>38</v>
      </c>
      <c r="D103" t="s">
        <v>17</v>
      </c>
      <c r="E103" t="s">
        <v>28</v>
      </c>
      <c r="F103">
        <v>6</v>
      </c>
      <c r="G103" t="str">
        <f t="shared" si="16"/>
        <v>Jun</v>
      </c>
      <c r="H103">
        <f t="shared" si="17"/>
        <v>2024</v>
      </c>
      <c r="I103" t="str">
        <f t="shared" si="18"/>
        <v>Jun-2024</v>
      </c>
      <c r="J103" t="str">
        <f t="shared" si="19"/>
        <v>Q2</v>
      </c>
      <c r="K103" s="5">
        <v>27046</v>
      </c>
      <c r="L103">
        <v>83720</v>
      </c>
      <c r="M103">
        <v>84</v>
      </c>
      <c r="N103" s="5">
        <v>148874</v>
      </c>
      <c r="O103" s="5">
        <f t="shared" si="14"/>
        <v>101210.66666666667</v>
      </c>
      <c r="P103" s="5">
        <f t="shared" si="15"/>
        <v>102631</v>
      </c>
      <c r="Q103">
        <v>89</v>
      </c>
      <c r="R103">
        <v>67</v>
      </c>
      <c r="S103" t="s">
        <v>29</v>
      </c>
      <c r="T103" t="s">
        <v>22</v>
      </c>
    </row>
    <row r="104" spans="1:20" x14ac:dyDescent="0.3">
      <c r="A104" t="s">
        <v>132</v>
      </c>
      <c r="B104" t="s">
        <v>31</v>
      </c>
      <c r="C104" t="s">
        <v>25</v>
      </c>
      <c r="D104" t="s">
        <v>27</v>
      </c>
      <c r="E104" t="s">
        <v>18</v>
      </c>
      <c r="F104">
        <v>7</v>
      </c>
      <c r="G104" t="str">
        <f t="shared" si="16"/>
        <v>Jul</v>
      </c>
      <c r="H104">
        <f t="shared" si="17"/>
        <v>2024</v>
      </c>
      <c r="I104" t="str">
        <f t="shared" si="18"/>
        <v>Jul-2024</v>
      </c>
      <c r="J104" t="str">
        <f t="shared" si="19"/>
        <v>Q3</v>
      </c>
      <c r="K104" s="5">
        <v>12289</v>
      </c>
      <c r="L104">
        <v>44258</v>
      </c>
      <c r="M104">
        <v>84</v>
      </c>
      <c r="N104" s="5">
        <v>68052</v>
      </c>
      <c r="O104" s="5">
        <f t="shared" si="14"/>
        <v>102987</v>
      </c>
      <c r="P104" s="5">
        <f t="shared" si="15"/>
        <v>92921</v>
      </c>
      <c r="Q104">
        <v>52</v>
      </c>
      <c r="R104">
        <v>94</v>
      </c>
      <c r="S104" t="s">
        <v>19</v>
      </c>
      <c r="T104" t="s">
        <v>22</v>
      </c>
    </row>
    <row r="105" spans="1:20" x14ac:dyDescent="0.3">
      <c r="A105" t="s">
        <v>133</v>
      </c>
      <c r="B105" t="s">
        <v>24</v>
      </c>
      <c r="C105" t="s">
        <v>25</v>
      </c>
      <c r="D105" t="s">
        <v>17</v>
      </c>
      <c r="E105" t="s">
        <v>28</v>
      </c>
      <c r="F105">
        <v>8</v>
      </c>
      <c r="G105" t="str">
        <f t="shared" si="16"/>
        <v>Aug</v>
      </c>
      <c r="H105">
        <f t="shared" si="17"/>
        <v>2024</v>
      </c>
      <c r="I105" t="str">
        <f t="shared" si="18"/>
        <v>Aug-2024</v>
      </c>
      <c r="J105" t="str">
        <f t="shared" si="19"/>
        <v>Q3</v>
      </c>
      <c r="K105" s="5">
        <v>23324</v>
      </c>
      <c r="L105">
        <v>80760</v>
      </c>
      <c r="M105">
        <v>103</v>
      </c>
      <c r="N105" s="5">
        <v>131641</v>
      </c>
      <c r="O105" s="5">
        <f t="shared" si="14"/>
        <v>116189</v>
      </c>
      <c r="P105" s="5">
        <f t="shared" si="15"/>
        <v>110150.5</v>
      </c>
      <c r="Q105">
        <v>80</v>
      </c>
      <c r="R105">
        <v>61</v>
      </c>
      <c r="S105" t="s">
        <v>29</v>
      </c>
      <c r="T105" t="s">
        <v>22</v>
      </c>
    </row>
    <row r="106" spans="1:20" x14ac:dyDescent="0.3">
      <c r="A106" t="s">
        <v>134</v>
      </c>
      <c r="B106" t="s">
        <v>33</v>
      </c>
      <c r="C106" t="s">
        <v>34</v>
      </c>
      <c r="D106" t="s">
        <v>17</v>
      </c>
      <c r="E106" t="s">
        <v>18</v>
      </c>
      <c r="F106">
        <v>9</v>
      </c>
      <c r="G106" t="str">
        <f t="shared" si="16"/>
        <v>Sep</v>
      </c>
      <c r="H106">
        <f t="shared" si="17"/>
        <v>2024</v>
      </c>
      <c r="I106" t="str">
        <f t="shared" si="18"/>
        <v>Sep-2024</v>
      </c>
      <c r="J106" t="str">
        <f t="shared" si="19"/>
        <v>Q3</v>
      </c>
      <c r="K106" s="5">
        <v>23271</v>
      </c>
      <c r="L106">
        <v>81160</v>
      </c>
      <c r="M106">
        <v>130</v>
      </c>
      <c r="N106" s="5">
        <v>134670</v>
      </c>
      <c r="O106" s="5">
        <f t="shared" si="14"/>
        <v>111454.33333333333</v>
      </c>
      <c r="P106" s="5">
        <f t="shared" si="15"/>
        <v>120809.25</v>
      </c>
      <c r="Q106">
        <v>85</v>
      </c>
      <c r="R106">
        <v>56</v>
      </c>
      <c r="S106" t="s">
        <v>29</v>
      </c>
      <c r="T106" t="s">
        <v>20</v>
      </c>
    </row>
    <row r="107" spans="1:20" x14ac:dyDescent="0.3">
      <c r="A107" t="s">
        <v>135</v>
      </c>
      <c r="B107" t="s">
        <v>15</v>
      </c>
      <c r="C107" t="s">
        <v>34</v>
      </c>
      <c r="D107" t="s">
        <v>27</v>
      </c>
      <c r="E107" t="s">
        <v>18</v>
      </c>
      <c r="F107">
        <v>10</v>
      </c>
      <c r="G107" t="str">
        <f t="shared" si="16"/>
        <v>Oct</v>
      </c>
      <c r="H107">
        <f t="shared" si="17"/>
        <v>2024</v>
      </c>
      <c r="I107" t="str">
        <f t="shared" si="18"/>
        <v>Oct-2024</v>
      </c>
      <c r="J107" t="str">
        <f t="shared" si="19"/>
        <v>Q4</v>
      </c>
      <c r="K107" s="5">
        <v>8024</v>
      </c>
      <c r="L107">
        <v>26994</v>
      </c>
      <c r="M107">
        <v>178</v>
      </c>
      <c r="N107" s="5">
        <v>75249</v>
      </c>
      <c r="O107" s="5">
        <f t="shared" si="14"/>
        <v>113853.33333333333</v>
      </c>
      <c r="P107" s="5">
        <f t="shared" si="15"/>
        <v>102403</v>
      </c>
      <c r="Q107">
        <v>59</v>
      </c>
      <c r="R107">
        <v>82</v>
      </c>
      <c r="S107" t="s">
        <v>19</v>
      </c>
      <c r="T107" t="s">
        <v>22</v>
      </c>
    </row>
    <row r="108" spans="1:20" x14ac:dyDescent="0.3">
      <c r="A108" t="s">
        <v>136</v>
      </c>
      <c r="B108" t="s">
        <v>24</v>
      </c>
      <c r="C108" t="s">
        <v>25</v>
      </c>
      <c r="D108" t="s">
        <v>27</v>
      </c>
      <c r="E108" t="s">
        <v>18</v>
      </c>
      <c r="F108">
        <v>11</v>
      </c>
      <c r="G108" t="str">
        <f t="shared" si="16"/>
        <v>Nov</v>
      </c>
      <c r="H108">
        <f t="shared" si="17"/>
        <v>2024</v>
      </c>
      <c r="I108" t="str">
        <f t="shared" si="18"/>
        <v>Nov-2024</v>
      </c>
      <c r="J108" t="str">
        <f t="shared" si="19"/>
        <v>Q4</v>
      </c>
      <c r="K108" s="5">
        <v>9406</v>
      </c>
      <c r="L108">
        <v>37716</v>
      </c>
      <c r="M108">
        <v>137</v>
      </c>
      <c r="N108" s="5">
        <v>68335</v>
      </c>
      <c r="O108" s="5">
        <f t="shared" si="14"/>
        <v>92751.333333333328</v>
      </c>
      <c r="P108" s="5">
        <f t="shared" si="15"/>
        <v>102473.75</v>
      </c>
      <c r="Q108">
        <v>56</v>
      </c>
      <c r="R108">
        <v>92</v>
      </c>
      <c r="S108" t="s">
        <v>19</v>
      </c>
      <c r="T108" t="s">
        <v>22</v>
      </c>
    </row>
    <row r="109" spans="1:20" x14ac:dyDescent="0.3">
      <c r="A109" t="s">
        <v>137</v>
      </c>
      <c r="B109" t="s">
        <v>31</v>
      </c>
      <c r="C109" t="s">
        <v>25</v>
      </c>
      <c r="D109" t="s">
        <v>17</v>
      </c>
      <c r="E109" t="s">
        <v>18</v>
      </c>
      <c r="F109">
        <v>12</v>
      </c>
      <c r="G109" t="str">
        <f t="shared" si="16"/>
        <v>Dec</v>
      </c>
      <c r="H109">
        <f t="shared" si="17"/>
        <v>2024</v>
      </c>
      <c r="I109" t="str">
        <f t="shared" si="18"/>
        <v>Dec-2024</v>
      </c>
      <c r="J109" t="str">
        <f t="shared" si="19"/>
        <v>Q4</v>
      </c>
      <c r="K109" s="5">
        <v>15626</v>
      </c>
      <c r="L109">
        <v>58489</v>
      </c>
      <c r="M109">
        <v>177</v>
      </c>
      <c r="N109" s="5">
        <v>94429</v>
      </c>
      <c r="O109" s="5">
        <f t="shared" si="14"/>
        <v>79337.666666666672</v>
      </c>
      <c r="P109" s="5">
        <f t="shared" si="15"/>
        <v>93170.75</v>
      </c>
      <c r="Q109">
        <v>69</v>
      </c>
      <c r="R109">
        <v>95</v>
      </c>
      <c r="S109" t="s">
        <v>19</v>
      </c>
      <c r="T109" t="s">
        <v>22</v>
      </c>
    </row>
    <row r="110" spans="1:20" x14ac:dyDescent="0.3">
      <c r="A110" t="s">
        <v>138</v>
      </c>
      <c r="B110" t="s">
        <v>31</v>
      </c>
      <c r="C110" t="s">
        <v>34</v>
      </c>
      <c r="D110" t="s">
        <v>27</v>
      </c>
      <c r="E110" t="s">
        <v>18</v>
      </c>
      <c r="F110">
        <v>1</v>
      </c>
      <c r="G110" t="str">
        <f t="shared" si="16"/>
        <v>Jan</v>
      </c>
      <c r="H110">
        <f t="shared" si="17"/>
        <v>2025</v>
      </c>
      <c r="I110" t="str">
        <f t="shared" si="18"/>
        <v>Jan-2025</v>
      </c>
      <c r="J110" t="str">
        <f t="shared" si="19"/>
        <v>Q1</v>
      </c>
      <c r="K110" s="5">
        <v>10603</v>
      </c>
      <c r="L110">
        <v>43280</v>
      </c>
      <c r="M110">
        <v>114</v>
      </c>
      <c r="N110" s="5">
        <v>76471</v>
      </c>
      <c r="O110" s="5">
        <f t="shared" si="14"/>
        <v>79745</v>
      </c>
      <c r="P110" s="5">
        <f t="shared" si="15"/>
        <v>78621</v>
      </c>
      <c r="Q110">
        <v>60</v>
      </c>
      <c r="R110">
        <v>88</v>
      </c>
      <c r="S110" t="s">
        <v>19</v>
      </c>
      <c r="T110" t="s">
        <v>20</v>
      </c>
    </row>
    <row r="111" spans="1:20" x14ac:dyDescent="0.3">
      <c r="A111" t="s">
        <v>139</v>
      </c>
      <c r="B111" t="s">
        <v>31</v>
      </c>
      <c r="C111" t="s">
        <v>34</v>
      </c>
      <c r="D111" t="s">
        <v>27</v>
      </c>
      <c r="E111" t="s">
        <v>18</v>
      </c>
      <c r="F111">
        <v>2</v>
      </c>
      <c r="G111" t="str">
        <f t="shared" si="16"/>
        <v>Feb</v>
      </c>
      <c r="H111">
        <f t="shared" si="17"/>
        <v>2025</v>
      </c>
      <c r="I111" t="str">
        <f t="shared" si="18"/>
        <v>Feb-2025</v>
      </c>
      <c r="J111" t="str">
        <f t="shared" si="19"/>
        <v>Q1</v>
      </c>
      <c r="K111" s="5">
        <v>25741</v>
      </c>
      <c r="L111">
        <v>79665</v>
      </c>
      <c r="M111">
        <v>71</v>
      </c>
      <c r="N111" s="5">
        <v>122524</v>
      </c>
      <c r="O111" s="5">
        <f t="shared" si="14"/>
        <v>97808</v>
      </c>
      <c r="P111" s="5">
        <f t="shared" si="15"/>
        <v>90439.75</v>
      </c>
      <c r="Q111">
        <v>85</v>
      </c>
      <c r="R111">
        <v>78</v>
      </c>
      <c r="S111" t="s">
        <v>19</v>
      </c>
      <c r="T111" t="s">
        <v>22</v>
      </c>
    </row>
    <row r="112" spans="1:20" x14ac:dyDescent="0.3">
      <c r="A112" t="s">
        <v>140</v>
      </c>
      <c r="B112" t="s">
        <v>33</v>
      </c>
      <c r="C112" t="s">
        <v>25</v>
      </c>
      <c r="D112" t="s">
        <v>17</v>
      </c>
      <c r="E112" t="s">
        <v>18</v>
      </c>
      <c r="F112">
        <v>3</v>
      </c>
      <c r="G112" t="str">
        <f t="shared" si="16"/>
        <v>Mar</v>
      </c>
      <c r="H112">
        <f t="shared" si="17"/>
        <v>2025</v>
      </c>
      <c r="I112" t="str">
        <f t="shared" si="18"/>
        <v>Mar-2025</v>
      </c>
      <c r="J112" t="str">
        <f t="shared" si="19"/>
        <v>Q1</v>
      </c>
      <c r="K112" s="5">
        <v>13146</v>
      </c>
      <c r="L112">
        <v>45196</v>
      </c>
      <c r="M112">
        <v>135</v>
      </c>
      <c r="N112" s="5">
        <v>77832</v>
      </c>
      <c r="O112" s="5">
        <f t="shared" si="14"/>
        <v>92275.666666666672</v>
      </c>
      <c r="P112" s="5">
        <f t="shared" si="15"/>
        <v>92814</v>
      </c>
      <c r="Q112">
        <v>54</v>
      </c>
      <c r="R112">
        <v>99</v>
      </c>
      <c r="S112" t="s">
        <v>19</v>
      </c>
      <c r="T112" t="s">
        <v>20</v>
      </c>
    </row>
    <row r="113" spans="1:20" x14ac:dyDescent="0.3">
      <c r="A113" t="s">
        <v>141</v>
      </c>
      <c r="B113" t="s">
        <v>33</v>
      </c>
      <c r="C113" t="s">
        <v>25</v>
      </c>
      <c r="D113" t="s">
        <v>27</v>
      </c>
      <c r="E113" t="s">
        <v>18</v>
      </c>
      <c r="F113">
        <v>4</v>
      </c>
      <c r="G113" t="str">
        <f t="shared" si="16"/>
        <v>Apr</v>
      </c>
      <c r="H113">
        <f t="shared" si="17"/>
        <v>2025</v>
      </c>
      <c r="I113" t="str">
        <f t="shared" si="18"/>
        <v>Apr-2025</v>
      </c>
      <c r="J113" t="str">
        <f t="shared" si="19"/>
        <v>Q2</v>
      </c>
      <c r="K113" s="5">
        <v>16856</v>
      </c>
      <c r="L113">
        <v>58438</v>
      </c>
      <c r="M113">
        <v>102</v>
      </c>
      <c r="N113" s="5">
        <v>89767</v>
      </c>
      <c r="O113" s="5">
        <f t="shared" si="14"/>
        <v>96707.666666666672</v>
      </c>
      <c r="P113" s="5">
        <f t="shared" si="15"/>
        <v>91648.5</v>
      </c>
      <c r="Q113">
        <v>60</v>
      </c>
      <c r="R113">
        <v>62</v>
      </c>
      <c r="S113" t="s">
        <v>29</v>
      </c>
      <c r="T113" t="s">
        <v>22</v>
      </c>
    </row>
    <row r="114" spans="1:20" x14ac:dyDescent="0.3">
      <c r="A114" t="s">
        <v>142</v>
      </c>
      <c r="B114" t="s">
        <v>15</v>
      </c>
      <c r="C114" t="s">
        <v>16</v>
      </c>
      <c r="D114" t="s">
        <v>27</v>
      </c>
      <c r="E114" t="s">
        <v>28</v>
      </c>
      <c r="F114">
        <v>5</v>
      </c>
      <c r="G114" t="str">
        <f t="shared" si="16"/>
        <v>May</v>
      </c>
      <c r="H114">
        <f t="shared" si="17"/>
        <v>2025</v>
      </c>
      <c r="I114" t="str">
        <f t="shared" si="18"/>
        <v>May-2025</v>
      </c>
      <c r="J114" t="str">
        <f t="shared" si="19"/>
        <v>Q2</v>
      </c>
      <c r="K114" s="5">
        <v>25084</v>
      </c>
      <c r="L114">
        <v>80170</v>
      </c>
      <c r="M114">
        <v>170</v>
      </c>
      <c r="N114" s="5">
        <v>151883</v>
      </c>
      <c r="O114" s="5">
        <f t="shared" si="14"/>
        <v>106494</v>
      </c>
      <c r="P114" s="5">
        <f t="shared" si="15"/>
        <v>110501.5</v>
      </c>
      <c r="Q114">
        <v>99</v>
      </c>
      <c r="R114">
        <v>91</v>
      </c>
      <c r="S114" t="s">
        <v>19</v>
      </c>
      <c r="T114" t="s">
        <v>20</v>
      </c>
    </row>
    <row r="115" spans="1:20" x14ac:dyDescent="0.3">
      <c r="A115" t="s">
        <v>143</v>
      </c>
      <c r="B115" t="s">
        <v>15</v>
      </c>
      <c r="C115" t="s">
        <v>25</v>
      </c>
      <c r="D115" t="s">
        <v>27</v>
      </c>
      <c r="E115" t="s">
        <v>28</v>
      </c>
      <c r="F115">
        <v>6</v>
      </c>
      <c r="G115" t="str">
        <f t="shared" si="16"/>
        <v>Jun</v>
      </c>
      <c r="H115">
        <f t="shared" si="17"/>
        <v>2025</v>
      </c>
      <c r="I115" t="str">
        <f t="shared" si="18"/>
        <v>Jun-2025</v>
      </c>
      <c r="J115" t="str">
        <f t="shared" si="19"/>
        <v>Q2</v>
      </c>
      <c r="K115" s="5">
        <v>21329</v>
      </c>
      <c r="L115">
        <v>73410</v>
      </c>
      <c r="M115">
        <v>153</v>
      </c>
      <c r="N115" s="5">
        <v>128900</v>
      </c>
      <c r="O115" s="5">
        <f t="shared" si="14"/>
        <v>123516.66666666667</v>
      </c>
      <c r="P115" s="5">
        <f t="shared" si="15"/>
        <v>112095.5</v>
      </c>
      <c r="Q115">
        <v>80</v>
      </c>
      <c r="R115">
        <v>70</v>
      </c>
      <c r="S115" t="s">
        <v>19</v>
      </c>
      <c r="T115" t="s">
        <v>22</v>
      </c>
    </row>
    <row r="116" spans="1:20" x14ac:dyDescent="0.3">
      <c r="A116" t="s">
        <v>144</v>
      </c>
      <c r="B116" t="s">
        <v>31</v>
      </c>
      <c r="C116" t="s">
        <v>25</v>
      </c>
      <c r="D116" t="s">
        <v>27</v>
      </c>
      <c r="E116" t="s">
        <v>18</v>
      </c>
      <c r="F116">
        <v>7</v>
      </c>
      <c r="G116" t="str">
        <f t="shared" si="16"/>
        <v>Jul</v>
      </c>
      <c r="H116">
        <f t="shared" si="17"/>
        <v>2025</v>
      </c>
      <c r="I116" t="str">
        <f t="shared" si="18"/>
        <v>Jul-2025</v>
      </c>
      <c r="J116" t="str">
        <f t="shared" si="19"/>
        <v>Q3</v>
      </c>
      <c r="K116" s="5">
        <v>8140</v>
      </c>
      <c r="L116">
        <v>31334</v>
      </c>
      <c r="M116">
        <v>147</v>
      </c>
      <c r="N116" s="5">
        <v>50192</v>
      </c>
      <c r="O116" s="5">
        <f t="shared" si="14"/>
        <v>110325</v>
      </c>
      <c r="P116" s="5">
        <f t="shared" si="15"/>
        <v>105185.5</v>
      </c>
      <c r="Q116">
        <v>38</v>
      </c>
      <c r="R116">
        <v>68</v>
      </c>
      <c r="S116" t="s">
        <v>29</v>
      </c>
      <c r="T116" t="s">
        <v>22</v>
      </c>
    </row>
    <row r="117" spans="1:20" x14ac:dyDescent="0.3">
      <c r="A117" t="s">
        <v>145</v>
      </c>
      <c r="B117" t="s">
        <v>24</v>
      </c>
      <c r="C117" t="s">
        <v>25</v>
      </c>
      <c r="D117" t="s">
        <v>17</v>
      </c>
      <c r="E117" t="s">
        <v>18</v>
      </c>
      <c r="F117">
        <v>8</v>
      </c>
      <c r="G117" t="str">
        <f t="shared" si="16"/>
        <v>Aug</v>
      </c>
      <c r="H117">
        <f t="shared" si="17"/>
        <v>2025</v>
      </c>
      <c r="I117" t="str">
        <f t="shared" si="18"/>
        <v>Aug-2025</v>
      </c>
      <c r="J117" t="str">
        <f t="shared" si="19"/>
        <v>Q3</v>
      </c>
      <c r="K117" s="5">
        <v>19358</v>
      </c>
      <c r="L117">
        <v>63593</v>
      </c>
      <c r="M117">
        <v>55</v>
      </c>
      <c r="N117" s="5">
        <v>105321</v>
      </c>
      <c r="O117" s="5">
        <f t="shared" si="14"/>
        <v>94804.333333333328</v>
      </c>
      <c r="P117" s="5">
        <f t="shared" si="15"/>
        <v>109074</v>
      </c>
      <c r="Q117">
        <v>77</v>
      </c>
      <c r="R117">
        <v>70</v>
      </c>
      <c r="S117" t="s">
        <v>19</v>
      </c>
      <c r="T117" t="s">
        <v>22</v>
      </c>
    </row>
    <row r="118" spans="1:20" x14ac:dyDescent="0.3">
      <c r="A118" t="s">
        <v>146</v>
      </c>
      <c r="B118" t="s">
        <v>33</v>
      </c>
      <c r="C118" t="s">
        <v>25</v>
      </c>
      <c r="D118" t="s">
        <v>27</v>
      </c>
      <c r="E118" t="s">
        <v>18</v>
      </c>
      <c r="F118">
        <v>9</v>
      </c>
      <c r="G118" t="str">
        <f t="shared" si="16"/>
        <v>Sep</v>
      </c>
      <c r="H118">
        <f t="shared" si="17"/>
        <v>2025</v>
      </c>
      <c r="I118" t="str">
        <f t="shared" si="18"/>
        <v>Sep-2025</v>
      </c>
      <c r="J118" t="str">
        <f t="shared" si="19"/>
        <v>Q3</v>
      </c>
      <c r="K118" s="5">
        <v>10262</v>
      </c>
      <c r="L118">
        <v>37193</v>
      </c>
      <c r="M118">
        <v>40</v>
      </c>
      <c r="N118" s="5">
        <v>56563</v>
      </c>
      <c r="O118" s="5">
        <f t="shared" si="14"/>
        <v>70692</v>
      </c>
      <c r="P118" s="5">
        <f t="shared" si="15"/>
        <v>85244</v>
      </c>
      <c r="Q118">
        <v>39</v>
      </c>
      <c r="R118">
        <v>66</v>
      </c>
      <c r="S118" t="s">
        <v>29</v>
      </c>
      <c r="T118" t="s">
        <v>20</v>
      </c>
    </row>
    <row r="119" spans="1:20" x14ac:dyDescent="0.3">
      <c r="A119" t="s">
        <v>147</v>
      </c>
      <c r="B119" t="s">
        <v>31</v>
      </c>
      <c r="C119" t="s">
        <v>38</v>
      </c>
      <c r="D119" t="s">
        <v>17</v>
      </c>
      <c r="E119" t="s">
        <v>18</v>
      </c>
      <c r="F119">
        <v>10</v>
      </c>
      <c r="G119" t="str">
        <f t="shared" si="16"/>
        <v>Oct</v>
      </c>
      <c r="H119">
        <f t="shared" si="17"/>
        <v>2025</v>
      </c>
      <c r="I119" t="str">
        <f t="shared" si="18"/>
        <v>Oct-2025</v>
      </c>
      <c r="J119" t="str">
        <f t="shared" si="19"/>
        <v>Q4</v>
      </c>
      <c r="K119" s="5">
        <v>26797</v>
      </c>
      <c r="L119">
        <v>91214</v>
      </c>
      <c r="M119">
        <v>49</v>
      </c>
      <c r="N119" s="5">
        <v>134886</v>
      </c>
      <c r="O119" s="5">
        <f t="shared" si="14"/>
        <v>98923.333333333328</v>
      </c>
      <c r="P119" s="5">
        <f t="shared" si="15"/>
        <v>86740.5</v>
      </c>
      <c r="Q119">
        <v>88</v>
      </c>
      <c r="R119">
        <v>69</v>
      </c>
      <c r="S119" t="s">
        <v>29</v>
      </c>
      <c r="T119" t="s">
        <v>22</v>
      </c>
    </row>
    <row r="120" spans="1:20" x14ac:dyDescent="0.3">
      <c r="A120" t="s">
        <v>148</v>
      </c>
      <c r="B120" t="s">
        <v>15</v>
      </c>
      <c r="C120" t="s">
        <v>38</v>
      </c>
      <c r="D120" t="s">
        <v>27</v>
      </c>
      <c r="E120" t="s">
        <v>18</v>
      </c>
      <c r="F120">
        <v>11</v>
      </c>
      <c r="G120" t="str">
        <f t="shared" si="16"/>
        <v>Nov</v>
      </c>
      <c r="H120">
        <f t="shared" si="17"/>
        <v>2025</v>
      </c>
      <c r="I120" t="str">
        <f t="shared" si="18"/>
        <v>Nov-2025</v>
      </c>
      <c r="J120" t="str">
        <f t="shared" si="19"/>
        <v>Q4</v>
      </c>
      <c r="K120" s="5">
        <v>16895</v>
      </c>
      <c r="L120">
        <v>60579</v>
      </c>
      <c r="M120">
        <v>86</v>
      </c>
      <c r="N120" s="5">
        <v>95905</v>
      </c>
      <c r="O120" s="5">
        <f t="shared" si="14"/>
        <v>95784.666666666672</v>
      </c>
      <c r="P120" s="5">
        <f t="shared" si="15"/>
        <v>98168.75</v>
      </c>
      <c r="Q120">
        <v>72</v>
      </c>
      <c r="R120">
        <v>76</v>
      </c>
      <c r="S120" t="s">
        <v>19</v>
      </c>
      <c r="T120" t="s">
        <v>22</v>
      </c>
    </row>
    <row r="121" spans="1:20" x14ac:dyDescent="0.3">
      <c r="A121" t="s">
        <v>149</v>
      </c>
      <c r="B121" t="s">
        <v>24</v>
      </c>
      <c r="C121" t="s">
        <v>16</v>
      </c>
      <c r="D121" t="s">
        <v>17</v>
      </c>
      <c r="E121" t="s">
        <v>18</v>
      </c>
      <c r="F121">
        <v>12</v>
      </c>
      <c r="G121" t="str">
        <f t="shared" si="16"/>
        <v>Dec</v>
      </c>
      <c r="H121">
        <f t="shared" si="17"/>
        <v>2025</v>
      </c>
      <c r="I121" t="str">
        <f t="shared" si="18"/>
        <v>Dec-2025</v>
      </c>
      <c r="J121" t="str">
        <f t="shared" si="19"/>
        <v>Q4</v>
      </c>
      <c r="K121" s="5">
        <v>15010</v>
      </c>
      <c r="L121">
        <v>50115</v>
      </c>
      <c r="M121">
        <v>76</v>
      </c>
      <c r="N121" s="5">
        <v>99375</v>
      </c>
      <c r="O121" s="5">
        <f t="shared" si="14"/>
        <v>110055.33333333333</v>
      </c>
      <c r="P121" s="5">
        <f t="shared" si="15"/>
        <v>96682.25</v>
      </c>
      <c r="Q121">
        <v>62</v>
      </c>
      <c r="R121">
        <v>87</v>
      </c>
      <c r="S121" t="s">
        <v>19</v>
      </c>
      <c r="T121" t="s">
        <v>20</v>
      </c>
    </row>
    <row r="124" spans="1:20" x14ac:dyDescent="0.3">
      <c r="A124" t="s">
        <v>305</v>
      </c>
      <c r="B124">
        <f>COUNTA(Table1[Employee_ID])</f>
        <v>120</v>
      </c>
    </row>
    <row r="126" spans="1:20" ht="15.6" x14ac:dyDescent="0.3">
      <c r="A126" s="32" t="s">
        <v>210</v>
      </c>
    </row>
    <row r="127" spans="1:20" ht="15.6" x14ac:dyDescent="0.3">
      <c r="A127" s="32" t="s">
        <v>211</v>
      </c>
    </row>
    <row r="128" spans="1:20" x14ac:dyDescent="0.3">
      <c r="A128" s="9" t="s">
        <v>212</v>
      </c>
      <c r="B128" s="9" t="s">
        <v>6</v>
      </c>
      <c r="C128" s="9" t="s">
        <v>7</v>
      </c>
      <c r="D128" s="9" t="s">
        <v>8</v>
      </c>
      <c r="E128" s="9" t="s">
        <v>9</v>
      </c>
      <c r="F128" s="9" t="s">
        <v>10</v>
      </c>
      <c r="G128" s="11" t="s">
        <v>11</v>
      </c>
      <c r="H128" s="11"/>
      <c r="I128" s="11"/>
      <c r="J128" s="11"/>
    </row>
    <row r="129" spans="1:10" x14ac:dyDescent="0.3">
      <c r="A129" s="10" t="s">
        <v>213</v>
      </c>
      <c r="B129" s="10">
        <f>ROUND(AVERAGE(Table1[Marketing_Spend]),2)</f>
        <v>17277.240000000002</v>
      </c>
      <c r="C129" s="10">
        <f>ROUND(AVERAGE(Table1[Website_Traffic]),2)</f>
        <v>59096.32</v>
      </c>
      <c r="D129" s="10">
        <f>ROUND(AVERAGE(Table1[Sales_Calls]),2)</f>
        <v>109.37</v>
      </c>
      <c r="E129">
        <f>ROUND(AVERAGE(Table1[Sales_Revenue]),2)</f>
        <v>103056.08</v>
      </c>
      <c r="F129">
        <f>ROUND(AVERAGE(Table1[Customer_Orders]),2)</f>
        <v>69.16</v>
      </c>
      <c r="G129" s="12">
        <f>ROUND(AVERAGE(Table1[Employee_Satisfaction]),2)</f>
        <v>79.099999999999994</v>
      </c>
      <c r="H129" s="12"/>
      <c r="I129" s="12"/>
      <c r="J129" s="12"/>
    </row>
    <row r="130" spans="1:10" x14ac:dyDescent="0.3">
      <c r="A130" s="10" t="s">
        <v>214</v>
      </c>
      <c r="B130" s="10">
        <f>ROUND(MEDIAN(Table1[Marketing_Spend]),2)</f>
        <v>17052</v>
      </c>
      <c r="C130" s="10">
        <f>ROUND(MEDIAN(Table1[Website_Traffic]),2)</f>
        <v>59796.5</v>
      </c>
      <c r="D130" s="10">
        <f>ROUND(MEDIAN(Table1[Sales_Calls]),2)</f>
        <v>103.5</v>
      </c>
      <c r="E130">
        <f>ROUND(MEDIAN(Table1[Sales_Revenue]),2)</f>
        <v>101627</v>
      </c>
      <c r="F130">
        <f>ROUND(MEDIAN(Table1[Customer_Orders]),2)</f>
        <v>69</v>
      </c>
      <c r="G130" s="12">
        <f>ROUND(MEDIAN(Table1[Employee_Satisfaction]),2)</f>
        <v>78</v>
      </c>
      <c r="H130" s="12"/>
      <c r="I130" s="12"/>
      <c r="J130" s="12"/>
    </row>
    <row r="131" spans="1:10" x14ac:dyDescent="0.3">
      <c r="A131" s="10" t="s">
        <v>215</v>
      </c>
      <c r="B131" s="10">
        <f>MAX(Table1[Marketing_Spend])</f>
        <v>29266</v>
      </c>
      <c r="C131" s="10">
        <f>MAX(Table1[Website_Traffic])</f>
        <v>96538</v>
      </c>
      <c r="D131" s="10">
        <f>MAX(Table1[Sales_Calls])</f>
        <v>180</v>
      </c>
      <c r="E131">
        <f>MAX(Table1[Sales_Revenue])</f>
        <v>176417</v>
      </c>
      <c r="F131">
        <f>MAX(Table1[Customer_Orders])</f>
        <v>112</v>
      </c>
      <c r="G131" s="12">
        <f>MAX(Table1[Employee_Satisfaction])</f>
        <v>100</v>
      </c>
      <c r="H131" s="12"/>
      <c r="I131" s="12"/>
      <c r="J131" s="12"/>
    </row>
    <row r="132" spans="1:10" x14ac:dyDescent="0.3">
      <c r="A132" s="10" t="s">
        <v>216</v>
      </c>
      <c r="B132" s="10">
        <f>MIN(Table1[Marketing_Spend])</f>
        <v>5874</v>
      </c>
      <c r="C132" s="10">
        <f>MIN(Table1[Website_Traffic])</f>
        <v>22131</v>
      </c>
      <c r="D132" s="10">
        <f>MIN(Table1[Sales_Calls])</f>
        <v>40</v>
      </c>
      <c r="E132">
        <f>MIN(Table1[Sales_Revenue])</f>
        <v>34438</v>
      </c>
      <c r="F132">
        <f>MIN(Table1[Customer_Orders])</f>
        <v>31</v>
      </c>
      <c r="G132" s="12">
        <f>MIN(Table1[Employee_Satisfaction])</f>
        <v>55</v>
      </c>
      <c r="H132" s="12"/>
      <c r="I132" s="12"/>
      <c r="J132" s="12"/>
    </row>
    <row r="133" spans="1:10" x14ac:dyDescent="0.3">
      <c r="A133" s="10" t="s">
        <v>217</v>
      </c>
      <c r="B133" s="10">
        <f>B131-B132</f>
        <v>23392</v>
      </c>
      <c r="C133" s="10">
        <f t="shared" ref="C133:K133" si="20">C131-C132</f>
        <v>74407</v>
      </c>
      <c r="D133" s="10">
        <f t="shared" si="20"/>
        <v>140</v>
      </c>
      <c r="E133" s="10">
        <f t="shared" si="20"/>
        <v>141979</v>
      </c>
      <c r="F133" s="10">
        <f t="shared" si="20"/>
        <v>81</v>
      </c>
      <c r="G133" s="10">
        <f>G131-G132</f>
        <v>45</v>
      </c>
      <c r="H133" s="10"/>
      <c r="I133" s="10"/>
      <c r="J133" s="10"/>
    </row>
    <row r="134" spans="1:10" x14ac:dyDescent="0.3">
      <c r="A134" s="10" t="s">
        <v>218</v>
      </c>
      <c r="B134" s="10">
        <f>ROUND(_xlfn.STDEV.S(Table1[Marketing_Spend]),3)</f>
        <v>7006.585</v>
      </c>
      <c r="C134" s="10">
        <f>ROUND(_xlfn.STDEV.S(Table1[Website_Traffic]),3)</f>
        <v>21085.981</v>
      </c>
      <c r="D134" s="10">
        <f>ROUND(_xlfn.STDEV.S(Table1[Sales_Calls]),3)</f>
        <v>41.591000000000001</v>
      </c>
      <c r="E134">
        <f>ROUND(_xlfn.STDEV.S(Table1[Sales_Revenue]),3)</f>
        <v>34879.118999999999</v>
      </c>
      <c r="F134">
        <f>ROUND(_xlfn.STDEV.S(Table1[Customer_Orders]),3)</f>
        <v>19.451000000000001</v>
      </c>
      <c r="G134" s="12">
        <f>ROUND(_xlfn.STDEV.S(Table1[Employee_Satisfaction]),3)</f>
        <v>13.055</v>
      </c>
      <c r="H134" s="12"/>
      <c r="I134" s="12"/>
      <c r="J134" s="12"/>
    </row>
    <row r="135" spans="1:10" x14ac:dyDescent="0.3">
      <c r="A135" s="10" t="s">
        <v>219</v>
      </c>
      <c r="B135" s="10">
        <f>ROUND(_xlfn.VAR.S(Table1[Marketing_Spend]),3)</f>
        <v>49092233.008000001</v>
      </c>
      <c r="C135" s="10">
        <f>ROUND(_xlfn.VAR.S(Table1[Website_Traffic]),3)</f>
        <v>444618592.722</v>
      </c>
      <c r="D135" s="10">
        <f>ROUND(_xlfn.VAR.S(Table1[Sales_Calls]),3)</f>
        <v>1729.8140000000001</v>
      </c>
      <c r="E135">
        <f>_xlfn.VAR.S(Table1[Sales_Revenue])</f>
        <v>1216552914.1539912</v>
      </c>
      <c r="F135">
        <f>ROUND(_xlfn.VAR.S(Table1[Customer_Orders]),3)</f>
        <v>378.33600000000001</v>
      </c>
      <c r="G135" s="12">
        <f>ROUND(_xlfn.VAR.S(Table1[Employee_Satisfaction]),3)</f>
        <v>170.42699999999999</v>
      </c>
    </row>
    <row r="137" spans="1:10" ht="15.6" x14ac:dyDescent="0.3">
      <c r="A137" s="37" t="s">
        <v>220</v>
      </c>
    </row>
    <row r="138" spans="1:10" ht="15.6" x14ac:dyDescent="0.3">
      <c r="A138" s="37" t="s">
        <v>233</v>
      </c>
    </row>
    <row r="139" spans="1:10" x14ac:dyDescent="0.3">
      <c r="A139" s="10" t="s">
        <v>234</v>
      </c>
    </row>
    <row r="140" spans="1:10" x14ac:dyDescent="0.3">
      <c r="A140" s="10" t="s">
        <v>235</v>
      </c>
    </row>
    <row r="141" spans="1:10" x14ac:dyDescent="0.3">
      <c r="A141" s="10"/>
    </row>
    <row r="142" spans="1:10" x14ac:dyDescent="0.3">
      <c r="A142" s="10" t="s">
        <v>236</v>
      </c>
    </row>
    <row r="143" spans="1:10" x14ac:dyDescent="0.3">
      <c r="A143" s="10" t="s">
        <v>237</v>
      </c>
    </row>
    <row r="144" spans="1:10" x14ac:dyDescent="0.3">
      <c r="A144" s="10"/>
    </row>
    <row r="145" spans="1:10" x14ac:dyDescent="0.3">
      <c r="A145" s="36" t="s">
        <v>221</v>
      </c>
    </row>
    <row r="146" spans="1:10" x14ac:dyDescent="0.3">
      <c r="A146" s="36" t="s">
        <v>222</v>
      </c>
      <c r="B146" s="33" t="s">
        <v>223</v>
      </c>
    </row>
    <row r="147" spans="1:10" x14ac:dyDescent="0.3">
      <c r="A147" s="13">
        <v>153419</v>
      </c>
      <c r="B147" s="13">
        <v>105211</v>
      </c>
    </row>
    <row r="148" spans="1:10" x14ac:dyDescent="0.3">
      <c r="A148" s="14">
        <v>108379</v>
      </c>
      <c r="B148" s="14">
        <v>74908</v>
      </c>
    </row>
    <row r="149" spans="1:10" x14ac:dyDescent="0.3">
      <c r="A149" s="13">
        <v>80365</v>
      </c>
      <c r="B149" s="13">
        <v>138323</v>
      </c>
    </row>
    <row r="150" spans="1:10" x14ac:dyDescent="0.3">
      <c r="A150" s="14">
        <v>85353</v>
      </c>
      <c r="B150" s="14">
        <v>150281</v>
      </c>
    </row>
    <row r="151" spans="1:10" x14ac:dyDescent="0.3">
      <c r="A151" s="13">
        <v>145118</v>
      </c>
      <c r="B151" s="13">
        <v>103471</v>
      </c>
    </row>
    <row r="152" spans="1:10" x14ac:dyDescent="0.3">
      <c r="A152" s="14">
        <v>93248</v>
      </c>
      <c r="B152" s="14">
        <v>127323</v>
      </c>
    </row>
    <row r="153" spans="1:10" x14ac:dyDescent="0.3">
      <c r="A153" s="13">
        <v>99669</v>
      </c>
      <c r="B153" s="13">
        <v>108347</v>
      </c>
    </row>
    <row r="154" spans="1:10" x14ac:dyDescent="0.3">
      <c r="A154" s="14">
        <v>144689</v>
      </c>
      <c r="B154" s="14">
        <v>62422</v>
      </c>
    </row>
    <row r="155" spans="1:10" x14ac:dyDescent="0.3">
      <c r="A155" s="13">
        <v>63367</v>
      </c>
      <c r="B155" s="13">
        <v>119350</v>
      </c>
      <c r="D155" t="s">
        <v>224</v>
      </c>
    </row>
    <row r="156" spans="1:10" ht="15" thickBot="1" x14ac:dyDescent="0.35">
      <c r="A156" s="14">
        <v>153371</v>
      </c>
      <c r="B156" s="14">
        <v>145224</v>
      </c>
    </row>
    <row r="157" spans="1:10" x14ac:dyDescent="0.3">
      <c r="A157" s="13">
        <v>132277</v>
      </c>
      <c r="B157" s="13">
        <v>49617</v>
      </c>
      <c r="D157" s="18"/>
      <c r="E157" s="18">
        <v>153419</v>
      </c>
      <c r="F157" s="18">
        <v>105211</v>
      </c>
      <c r="G157" s="31"/>
      <c r="H157" s="31"/>
      <c r="I157" s="31"/>
      <c r="J157" s="31"/>
    </row>
    <row r="158" spans="1:10" x14ac:dyDescent="0.3">
      <c r="A158" s="14">
        <v>148707</v>
      </c>
      <c r="B158" s="14">
        <v>53764</v>
      </c>
      <c r="D158" s="16" t="s">
        <v>213</v>
      </c>
      <c r="E158" s="16">
        <v>106345.47272727273</v>
      </c>
      <c r="F158" s="16">
        <v>99350.761904761908</v>
      </c>
      <c r="G158" s="16"/>
      <c r="H158" s="16"/>
      <c r="I158" s="16"/>
      <c r="J158" s="16"/>
    </row>
    <row r="159" spans="1:10" x14ac:dyDescent="0.3">
      <c r="A159" s="13">
        <v>34438</v>
      </c>
      <c r="B159" s="13">
        <v>59841</v>
      </c>
      <c r="D159" s="16" t="s">
        <v>219</v>
      </c>
      <c r="E159" s="16">
        <v>1301677479.6983168</v>
      </c>
      <c r="F159" s="16">
        <v>1136743365.5391707</v>
      </c>
      <c r="G159" s="16"/>
      <c r="H159" s="16"/>
      <c r="I159" s="16"/>
      <c r="J159" s="16"/>
    </row>
    <row r="160" spans="1:10" x14ac:dyDescent="0.3">
      <c r="A160" s="14">
        <v>67595</v>
      </c>
      <c r="B160" s="14">
        <v>134309</v>
      </c>
      <c r="D160" s="16" t="s">
        <v>225</v>
      </c>
      <c r="E160" s="16">
        <v>55</v>
      </c>
      <c r="F160" s="16">
        <v>63</v>
      </c>
      <c r="G160" s="16"/>
      <c r="H160" s="16"/>
      <c r="I160" s="16"/>
      <c r="J160" s="16"/>
    </row>
    <row r="161" spans="1:10" x14ac:dyDescent="0.3">
      <c r="A161" s="13">
        <v>144548</v>
      </c>
      <c r="B161" s="13">
        <v>76444</v>
      </c>
      <c r="D161" s="16" t="s">
        <v>226</v>
      </c>
      <c r="E161" s="16">
        <v>0</v>
      </c>
      <c r="F161" s="16"/>
      <c r="G161" s="16"/>
      <c r="H161" s="16"/>
      <c r="I161" s="16"/>
      <c r="J161" s="16"/>
    </row>
    <row r="162" spans="1:10" x14ac:dyDescent="0.3">
      <c r="A162" s="14">
        <v>83919</v>
      </c>
      <c r="B162" s="14">
        <v>140648</v>
      </c>
      <c r="D162" s="16" t="s">
        <v>227</v>
      </c>
      <c r="E162" s="16">
        <v>111</v>
      </c>
      <c r="F162" s="16"/>
      <c r="G162" s="16"/>
      <c r="H162" s="16"/>
      <c r="I162" s="16"/>
      <c r="J162" s="16"/>
    </row>
    <row r="163" spans="1:10" x14ac:dyDescent="0.3">
      <c r="A163" s="13">
        <v>80935</v>
      </c>
      <c r="B163" s="13">
        <v>134796</v>
      </c>
      <c r="D163" s="16" t="s">
        <v>228</v>
      </c>
      <c r="E163" s="16">
        <v>1.0830475930873558</v>
      </c>
      <c r="F163" s="16"/>
      <c r="G163" s="16"/>
      <c r="H163" s="16"/>
      <c r="I163" s="16"/>
      <c r="J163" s="16"/>
    </row>
    <row r="164" spans="1:10" x14ac:dyDescent="0.3">
      <c r="A164" s="14">
        <v>141157</v>
      </c>
      <c r="B164" s="14">
        <v>46911</v>
      </c>
      <c r="D164" s="16" t="s">
        <v>229</v>
      </c>
      <c r="E164" s="16">
        <v>0.14056717913698011</v>
      </c>
      <c r="F164" s="16"/>
      <c r="G164" s="16"/>
      <c r="H164" s="16"/>
      <c r="I164" s="16"/>
      <c r="J164" s="16"/>
    </row>
    <row r="165" spans="1:10" x14ac:dyDescent="0.3">
      <c r="A165" s="13">
        <v>117502</v>
      </c>
      <c r="B165" s="13">
        <v>117269</v>
      </c>
      <c r="D165" s="16" t="s">
        <v>230</v>
      </c>
      <c r="E165" s="16">
        <v>1.6586972654215832</v>
      </c>
      <c r="F165" s="16"/>
      <c r="G165" s="16"/>
      <c r="H165" s="16"/>
      <c r="I165" s="16"/>
      <c r="J165" s="16"/>
    </row>
    <row r="166" spans="1:10" x14ac:dyDescent="0.3">
      <c r="A166" s="14">
        <v>80111</v>
      </c>
      <c r="B166" s="14">
        <v>73609</v>
      </c>
      <c r="D166" s="16" t="s">
        <v>231</v>
      </c>
      <c r="E166" s="16">
        <v>0.28113435827396022</v>
      </c>
      <c r="F166" s="16"/>
      <c r="G166" s="16"/>
      <c r="H166" s="16"/>
      <c r="I166" s="16"/>
      <c r="J166" s="16"/>
    </row>
    <row r="167" spans="1:10" ht="15" thickBot="1" x14ac:dyDescent="0.35">
      <c r="A167" s="13">
        <v>126278</v>
      </c>
      <c r="B167" s="13">
        <v>60874</v>
      </c>
      <c r="D167" s="17" t="s">
        <v>232</v>
      </c>
      <c r="E167" s="17">
        <v>1.9815667570749009</v>
      </c>
      <c r="F167" s="17"/>
      <c r="G167" s="16"/>
      <c r="H167" s="16"/>
      <c r="I167" s="16"/>
      <c r="J167" s="16"/>
    </row>
    <row r="168" spans="1:10" x14ac:dyDescent="0.3">
      <c r="A168" s="14">
        <v>97429</v>
      </c>
      <c r="B168" s="14">
        <v>86793</v>
      </c>
    </row>
    <row r="169" spans="1:10" x14ac:dyDescent="0.3">
      <c r="A169" s="13">
        <v>56812</v>
      </c>
      <c r="B169" s="13">
        <v>131784</v>
      </c>
      <c r="D169" s="19" t="s">
        <v>238</v>
      </c>
    </row>
    <row r="170" spans="1:10" x14ac:dyDescent="0.3">
      <c r="A170" s="14">
        <v>92441</v>
      </c>
      <c r="B170" s="14">
        <v>54724</v>
      </c>
    </row>
    <row r="171" spans="1:10" x14ac:dyDescent="0.3">
      <c r="A171" s="13">
        <v>38436</v>
      </c>
      <c r="B171" s="13">
        <v>175118</v>
      </c>
      <c r="D171" t="s">
        <v>239</v>
      </c>
    </row>
    <row r="172" spans="1:10" x14ac:dyDescent="0.3">
      <c r="A172" s="14">
        <v>46870</v>
      </c>
      <c r="B172" s="14">
        <v>48985</v>
      </c>
    </row>
    <row r="173" spans="1:10" x14ac:dyDescent="0.3">
      <c r="A173" s="13">
        <v>132446</v>
      </c>
      <c r="B173" s="13">
        <v>106051</v>
      </c>
    </row>
    <row r="174" spans="1:10" x14ac:dyDescent="0.3">
      <c r="A174" s="14">
        <v>141767</v>
      </c>
      <c r="B174" s="14">
        <v>70939</v>
      </c>
    </row>
    <row r="175" spans="1:10" x14ac:dyDescent="0.3">
      <c r="A175" s="13">
        <v>109494</v>
      </c>
      <c r="B175" s="13">
        <v>153267</v>
      </c>
    </row>
    <row r="176" spans="1:10" x14ac:dyDescent="0.3">
      <c r="A176" s="14">
        <v>147858</v>
      </c>
      <c r="B176" s="14">
        <v>145608</v>
      </c>
    </row>
    <row r="177" spans="1:2" x14ac:dyDescent="0.3">
      <c r="A177" s="13">
        <v>139814</v>
      </c>
      <c r="B177" s="13">
        <v>77751</v>
      </c>
    </row>
    <row r="178" spans="1:2" x14ac:dyDescent="0.3">
      <c r="A178" s="14">
        <v>48493</v>
      </c>
      <c r="B178" s="14">
        <v>122784</v>
      </c>
    </row>
    <row r="179" spans="1:2" x14ac:dyDescent="0.3">
      <c r="A179" s="13">
        <v>98505</v>
      </c>
      <c r="B179" s="13">
        <v>87994</v>
      </c>
    </row>
    <row r="180" spans="1:2" x14ac:dyDescent="0.3">
      <c r="A180" s="14">
        <v>128474</v>
      </c>
      <c r="B180" s="14">
        <v>90086</v>
      </c>
    </row>
    <row r="181" spans="1:2" x14ac:dyDescent="0.3">
      <c r="A181" s="13">
        <v>118158</v>
      </c>
      <c r="B181" s="13">
        <v>165042</v>
      </c>
    </row>
    <row r="182" spans="1:2" x14ac:dyDescent="0.3">
      <c r="A182" s="14">
        <v>70565</v>
      </c>
      <c r="B182" s="14">
        <v>115047</v>
      </c>
    </row>
    <row r="183" spans="1:2" x14ac:dyDescent="0.3">
      <c r="A183" s="13">
        <v>142039</v>
      </c>
      <c r="B183" s="13">
        <v>71256</v>
      </c>
    </row>
    <row r="184" spans="1:2" x14ac:dyDescent="0.3">
      <c r="A184" s="14">
        <v>108296</v>
      </c>
      <c r="B184" s="14">
        <v>93884</v>
      </c>
    </row>
    <row r="185" spans="1:2" x14ac:dyDescent="0.3">
      <c r="A185" s="13">
        <v>55216</v>
      </c>
      <c r="B185" s="13">
        <v>50491</v>
      </c>
    </row>
    <row r="186" spans="1:2" x14ac:dyDescent="0.3">
      <c r="A186" s="14">
        <v>111209</v>
      </c>
      <c r="B186" s="14">
        <v>90467</v>
      </c>
    </row>
    <row r="187" spans="1:2" x14ac:dyDescent="0.3">
      <c r="A187" s="13">
        <v>81780</v>
      </c>
      <c r="B187" s="13">
        <v>132627</v>
      </c>
    </row>
    <row r="188" spans="1:2" x14ac:dyDescent="0.3">
      <c r="A188" s="14">
        <v>176417</v>
      </c>
      <c r="B188" s="14">
        <v>74733</v>
      </c>
    </row>
    <row r="189" spans="1:2" x14ac:dyDescent="0.3">
      <c r="A189" s="13">
        <v>112544</v>
      </c>
      <c r="B189" s="13">
        <v>93653</v>
      </c>
    </row>
    <row r="190" spans="1:2" x14ac:dyDescent="0.3">
      <c r="A190" s="14">
        <v>131540</v>
      </c>
      <c r="B190" s="14">
        <v>141943</v>
      </c>
    </row>
    <row r="191" spans="1:2" x14ac:dyDescent="0.3">
      <c r="A191" s="13">
        <v>60702</v>
      </c>
      <c r="B191" s="13">
        <v>66899</v>
      </c>
    </row>
    <row r="192" spans="1:2" x14ac:dyDescent="0.3">
      <c r="A192" s="14">
        <v>99783</v>
      </c>
      <c r="B192" s="14">
        <v>148293</v>
      </c>
    </row>
    <row r="193" spans="1:2" x14ac:dyDescent="0.3">
      <c r="A193" s="13">
        <v>137237</v>
      </c>
      <c r="B193" s="13">
        <v>109480</v>
      </c>
    </row>
    <row r="194" spans="1:2" x14ac:dyDescent="0.3">
      <c r="A194" s="14">
        <v>53590</v>
      </c>
      <c r="B194" s="14">
        <v>119205</v>
      </c>
    </row>
    <row r="195" spans="1:2" x14ac:dyDescent="0.3">
      <c r="A195" s="13">
        <v>166277</v>
      </c>
      <c r="B195" s="13">
        <v>106892</v>
      </c>
    </row>
    <row r="196" spans="1:2" x14ac:dyDescent="0.3">
      <c r="A196" s="14">
        <v>97727</v>
      </c>
      <c r="B196" s="14">
        <v>68052</v>
      </c>
    </row>
    <row r="197" spans="1:2" x14ac:dyDescent="0.3">
      <c r="A197" s="13">
        <v>62723</v>
      </c>
      <c r="B197" s="13">
        <v>134670</v>
      </c>
    </row>
    <row r="198" spans="1:2" x14ac:dyDescent="0.3">
      <c r="A198" s="14">
        <v>92035</v>
      </c>
      <c r="B198" s="14">
        <v>75249</v>
      </c>
    </row>
    <row r="199" spans="1:2" x14ac:dyDescent="0.3">
      <c r="A199" s="13">
        <v>148874</v>
      </c>
      <c r="B199" s="13">
        <v>68335</v>
      </c>
    </row>
    <row r="200" spans="1:2" x14ac:dyDescent="0.3">
      <c r="A200" s="14">
        <v>131641</v>
      </c>
      <c r="B200" s="14">
        <v>94429</v>
      </c>
    </row>
    <row r="201" spans="1:2" x14ac:dyDescent="0.3">
      <c r="A201" s="13">
        <v>151883</v>
      </c>
      <c r="B201" s="13">
        <v>76471</v>
      </c>
    </row>
    <row r="202" spans="1:2" x14ac:dyDescent="0.3">
      <c r="A202" s="15">
        <v>128900</v>
      </c>
      <c r="B202" s="14">
        <v>122524</v>
      </c>
    </row>
    <row r="203" spans="1:2" x14ac:dyDescent="0.3">
      <c r="B203" s="13">
        <v>77832</v>
      </c>
    </row>
    <row r="204" spans="1:2" x14ac:dyDescent="0.3">
      <c r="B204" s="14">
        <v>89767</v>
      </c>
    </row>
    <row r="205" spans="1:2" x14ac:dyDescent="0.3">
      <c r="B205" s="13">
        <v>50192</v>
      </c>
    </row>
    <row r="206" spans="1:2" x14ac:dyDescent="0.3">
      <c r="B206" s="14">
        <v>105321</v>
      </c>
    </row>
    <row r="207" spans="1:2" x14ac:dyDescent="0.3">
      <c r="B207" s="13">
        <v>56563</v>
      </c>
    </row>
    <row r="208" spans="1:2" x14ac:dyDescent="0.3">
      <c r="B208" s="14">
        <v>134886</v>
      </c>
    </row>
    <row r="209" spans="1:16" x14ac:dyDescent="0.3">
      <c r="B209" s="13">
        <v>95905</v>
      </c>
    </row>
    <row r="210" spans="1:16" x14ac:dyDescent="0.3">
      <c r="B210" s="15">
        <v>99375</v>
      </c>
    </row>
    <row r="212" spans="1:16" ht="15.6" x14ac:dyDescent="0.3">
      <c r="A212" s="32" t="s">
        <v>240</v>
      </c>
    </row>
    <row r="213" spans="1:16" ht="15.6" x14ac:dyDescent="0.3">
      <c r="A213" s="32" t="s">
        <v>241</v>
      </c>
    </row>
    <row r="214" spans="1:16" x14ac:dyDescent="0.3">
      <c r="A214" t="s">
        <v>234</v>
      </c>
    </row>
    <row r="215" spans="1:16" x14ac:dyDescent="0.3">
      <c r="A215" t="s">
        <v>242</v>
      </c>
    </row>
    <row r="217" spans="1:16" x14ac:dyDescent="0.3">
      <c r="A217" t="s">
        <v>236</v>
      </c>
    </row>
    <row r="218" spans="1:16" x14ac:dyDescent="0.3">
      <c r="A218" t="s">
        <v>243</v>
      </c>
    </row>
    <row r="220" spans="1:16" x14ac:dyDescent="0.3">
      <c r="A220" s="7" t="s">
        <v>31</v>
      </c>
      <c r="B220" s="7" t="s">
        <v>24</v>
      </c>
      <c r="C220" s="7" t="s">
        <v>33</v>
      </c>
      <c r="D220" s="7" t="s">
        <v>15</v>
      </c>
      <c r="F220" t="s">
        <v>244</v>
      </c>
      <c r="K220"/>
      <c r="N220"/>
      <c r="O220"/>
      <c r="P220"/>
    </row>
    <row r="221" spans="1:16" x14ac:dyDescent="0.3">
      <c r="A221" s="3">
        <v>97</v>
      </c>
      <c r="B221" s="3">
        <v>75</v>
      </c>
      <c r="C221" s="3">
        <v>98</v>
      </c>
      <c r="D221" s="3">
        <v>90</v>
      </c>
      <c r="K221"/>
      <c r="N221"/>
      <c r="O221"/>
      <c r="P221"/>
    </row>
    <row r="222" spans="1:16" ht="15" thickBot="1" x14ac:dyDescent="0.35">
      <c r="A222" s="4">
        <v>69</v>
      </c>
      <c r="B222" s="4">
        <v>88</v>
      </c>
      <c r="C222" s="4">
        <v>72</v>
      </c>
      <c r="D222" s="4">
        <v>82</v>
      </c>
      <c r="F222" t="s">
        <v>245</v>
      </c>
      <c r="K222"/>
      <c r="N222"/>
      <c r="O222"/>
      <c r="P222"/>
    </row>
    <row r="223" spans="1:16" x14ac:dyDescent="0.3">
      <c r="A223" s="3">
        <v>82</v>
      </c>
      <c r="B223" s="3">
        <v>91</v>
      </c>
      <c r="C223" s="3">
        <v>72</v>
      </c>
      <c r="D223" s="3">
        <v>99</v>
      </c>
      <c r="F223" s="18" t="s">
        <v>246</v>
      </c>
      <c r="G223" s="18"/>
      <c r="H223" s="18"/>
      <c r="I223" s="18"/>
      <c r="J223" s="18"/>
      <c r="K223" s="18" t="s">
        <v>247</v>
      </c>
      <c r="L223" s="18" t="s">
        <v>248</v>
      </c>
      <c r="M223" s="18" t="s">
        <v>249</v>
      </c>
      <c r="N223" s="18" t="s">
        <v>219</v>
      </c>
      <c r="O223" s="31"/>
      <c r="P223" s="31"/>
    </row>
    <row r="224" spans="1:16" x14ac:dyDescent="0.3">
      <c r="A224" s="4">
        <v>89</v>
      </c>
      <c r="B224" s="4">
        <v>76</v>
      </c>
      <c r="C224" s="4">
        <v>94</v>
      </c>
      <c r="D224" s="4">
        <v>72</v>
      </c>
      <c r="F224" s="16" t="s">
        <v>31</v>
      </c>
      <c r="G224" s="16"/>
      <c r="H224" s="16"/>
      <c r="I224" s="16"/>
      <c r="J224" s="16"/>
      <c r="K224" s="16">
        <v>34</v>
      </c>
      <c r="L224" s="16">
        <v>2715</v>
      </c>
      <c r="M224" s="16">
        <v>79.852941176470594</v>
      </c>
      <c r="N224" s="16">
        <v>173.46256684491968</v>
      </c>
      <c r="O224" s="16"/>
      <c r="P224" s="16"/>
    </row>
    <row r="225" spans="1:18" x14ac:dyDescent="0.3">
      <c r="A225" s="3">
        <v>85</v>
      </c>
      <c r="B225" s="3">
        <v>78</v>
      </c>
      <c r="C225" s="3">
        <v>86</v>
      </c>
      <c r="D225" s="3">
        <v>88</v>
      </c>
      <c r="F225" s="16" t="s">
        <v>24</v>
      </c>
      <c r="G225" s="16"/>
      <c r="H225" s="16"/>
      <c r="I225" s="16"/>
      <c r="J225" s="16"/>
      <c r="K225" s="16">
        <v>27</v>
      </c>
      <c r="L225" s="16">
        <v>2099</v>
      </c>
      <c r="M225" s="16">
        <v>77.740740740740748</v>
      </c>
      <c r="N225" s="16">
        <v>160.12250712250759</v>
      </c>
      <c r="O225" s="16"/>
      <c r="P225" s="16"/>
    </row>
    <row r="226" spans="1:18" x14ac:dyDescent="0.3">
      <c r="A226" s="4">
        <v>97</v>
      </c>
      <c r="B226" s="4">
        <v>74</v>
      </c>
      <c r="C226" s="4">
        <v>100</v>
      </c>
      <c r="D226" s="4">
        <v>95</v>
      </c>
      <c r="F226" s="16" t="s">
        <v>33</v>
      </c>
      <c r="G226" s="16"/>
      <c r="H226" s="16"/>
      <c r="I226" s="16"/>
      <c r="J226" s="16"/>
      <c r="K226" s="16">
        <v>29</v>
      </c>
      <c r="L226" s="16">
        <v>2306</v>
      </c>
      <c r="M226" s="16">
        <v>79.517241379310349</v>
      </c>
      <c r="N226" s="16">
        <v>212.6871921182267</v>
      </c>
      <c r="O226" s="16"/>
      <c r="P226" s="16"/>
    </row>
    <row r="227" spans="1:18" ht="15" thickBot="1" x14ac:dyDescent="0.35">
      <c r="A227" s="3">
        <v>98</v>
      </c>
      <c r="B227" s="3">
        <v>90</v>
      </c>
      <c r="C227" s="3">
        <v>74</v>
      </c>
      <c r="D227" s="3">
        <v>100</v>
      </c>
      <c r="F227" s="17" t="s">
        <v>15</v>
      </c>
      <c r="G227" s="17"/>
      <c r="H227" s="17"/>
      <c r="I227" s="17"/>
      <c r="J227" s="17"/>
      <c r="K227" s="17">
        <v>28</v>
      </c>
      <c r="L227" s="17">
        <v>2229</v>
      </c>
      <c r="M227" s="17">
        <v>79.607142857142861</v>
      </c>
      <c r="N227" s="17">
        <v>154.8399470899474</v>
      </c>
      <c r="O227" s="16"/>
      <c r="P227" s="16"/>
    </row>
    <row r="228" spans="1:18" x14ac:dyDescent="0.3">
      <c r="A228" s="4">
        <v>90</v>
      </c>
      <c r="B228" s="4">
        <v>99</v>
      </c>
      <c r="C228" s="4">
        <v>98</v>
      </c>
      <c r="D228" s="4">
        <v>62</v>
      </c>
      <c r="K228"/>
      <c r="N228"/>
      <c r="O228"/>
      <c r="P228"/>
    </row>
    <row r="229" spans="1:18" x14ac:dyDescent="0.3">
      <c r="A229" s="3">
        <v>94</v>
      </c>
      <c r="B229" s="3">
        <v>71</v>
      </c>
      <c r="C229" s="3">
        <v>62</v>
      </c>
      <c r="D229" s="3">
        <v>97</v>
      </c>
      <c r="K229"/>
      <c r="N229"/>
      <c r="O229"/>
      <c r="P229"/>
    </row>
    <row r="230" spans="1:18" ht="15" thickBot="1" x14ac:dyDescent="0.35">
      <c r="A230" s="4">
        <v>72</v>
      </c>
      <c r="B230" s="4">
        <v>94</v>
      </c>
      <c r="C230" s="4">
        <v>68</v>
      </c>
      <c r="D230" s="4">
        <v>81</v>
      </c>
      <c r="F230" t="s">
        <v>250</v>
      </c>
      <c r="K230"/>
      <c r="N230"/>
      <c r="O230"/>
      <c r="P230"/>
    </row>
    <row r="231" spans="1:18" x14ac:dyDescent="0.3">
      <c r="A231" s="3">
        <v>63</v>
      </c>
      <c r="B231" s="3">
        <v>75</v>
      </c>
      <c r="C231" s="3">
        <v>64</v>
      </c>
      <c r="D231" s="3">
        <v>60</v>
      </c>
      <c r="F231" s="18" t="s">
        <v>251</v>
      </c>
      <c r="G231" s="18"/>
      <c r="H231" s="18"/>
      <c r="I231" s="18"/>
      <c r="J231" s="18"/>
      <c r="K231" s="18" t="s">
        <v>252</v>
      </c>
      <c r="L231" s="18" t="s">
        <v>227</v>
      </c>
      <c r="M231" s="18" t="s">
        <v>253</v>
      </c>
      <c r="N231" s="18" t="s">
        <v>254</v>
      </c>
      <c r="O231" s="18"/>
      <c r="P231" s="18"/>
      <c r="Q231" s="18" t="s">
        <v>255</v>
      </c>
      <c r="R231" s="18" t="s">
        <v>256</v>
      </c>
    </row>
    <row r="232" spans="1:18" x14ac:dyDescent="0.3">
      <c r="A232" s="4">
        <v>100</v>
      </c>
      <c r="B232" s="4">
        <v>100</v>
      </c>
      <c r="C232" s="4">
        <v>99</v>
      </c>
      <c r="D232" s="4">
        <v>70</v>
      </c>
      <c r="F232" s="16" t="s">
        <v>257</v>
      </c>
      <c r="G232" s="16"/>
      <c r="H232" s="16"/>
      <c r="I232" s="16"/>
      <c r="J232" s="16"/>
      <c r="K232" s="16">
        <v>79.452192091848701</v>
      </c>
      <c r="L232" s="16">
        <v>3</v>
      </c>
      <c r="M232" s="16">
        <v>26.484064030616235</v>
      </c>
      <c r="N232" s="16">
        <v>0.1507829762593981</v>
      </c>
      <c r="O232" s="16"/>
      <c r="P232" s="16"/>
      <c r="Q232" s="16">
        <v>0.92899766584519883</v>
      </c>
      <c r="R232" s="16">
        <v>2.6842011158507599</v>
      </c>
    </row>
    <row r="233" spans="1:18" x14ac:dyDescent="0.3">
      <c r="A233" s="3">
        <v>83</v>
      </c>
      <c r="B233" s="3">
        <v>94</v>
      </c>
      <c r="C233" s="3">
        <v>89</v>
      </c>
      <c r="D233" s="3">
        <v>89</v>
      </c>
      <c r="F233" s="16" t="s">
        <v>258</v>
      </c>
      <c r="G233" s="16"/>
      <c r="H233" s="16"/>
      <c r="I233" s="16"/>
      <c r="J233" s="16"/>
      <c r="K233" s="16">
        <v>20023.369841806456</v>
      </c>
      <c r="L233" s="16">
        <v>114</v>
      </c>
      <c r="M233" s="16">
        <v>175.64359510356542</v>
      </c>
      <c r="N233" s="16"/>
      <c r="O233" s="16"/>
      <c r="P233" s="16"/>
      <c r="Q233" s="16"/>
      <c r="R233" s="16"/>
    </row>
    <row r="234" spans="1:18" x14ac:dyDescent="0.3">
      <c r="A234" s="4">
        <v>76</v>
      </c>
      <c r="B234" s="4">
        <v>76</v>
      </c>
      <c r="C234" s="4">
        <v>79</v>
      </c>
      <c r="D234" s="4">
        <v>90</v>
      </c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spans="1:18" ht="15" thickBot="1" x14ac:dyDescent="0.35">
      <c r="A235" s="3">
        <v>100</v>
      </c>
      <c r="B235" s="3">
        <v>81</v>
      </c>
      <c r="C235" s="3">
        <v>89</v>
      </c>
      <c r="D235" s="3">
        <v>93</v>
      </c>
      <c r="F235" s="17" t="s">
        <v>259</v>
      </c>
      <c r="G235" s="17"/>
      <c r="H235" s="17"/>
      <c r="I235" s="17"/>
      <c r="J235" s="17"/>
      <c r="K235" s="17">
        <v>20102.822033898305</v>
      </c>
      <c r="L235" s="17">
        <v>117</v>
      </c>
      <c r="M235" s="17"/>
      <c r="N235" s="17"/>
      <c r="O235" s="17"/>
      <c r="P235" s="17"/>
      <c r="Q235" s="17"/>
      <c r="R235" s="17"/>
    </row>
    <row r="236" spans="1:18" x14ac:dyDescent="0.3">
      <c r="A236" s="4">
        <v>62</v>
      </c>
      <c r="B236" s="4">
        <v>55</v>
      </c>
      <c r="C236" s="4">
        <v>73</v>
      </c>
      <c r="D236" s="4">
        <v>82</v>
      </c>
      <c r="K236"/>
      <c r="N236"/>
      <c r="O236"/>
      <c r="P236"/>
    </row>
    <row r="237" spans="1:18" x14ac:dyDescent="0.3">
      <c r="A237" s="3">
        <v>74</v>
      </c>
      <c r="B237" s="3">
        <v>64</v>
      </c>
      <c r="C237" s="3">
        <v>55</v>
      </c>
      <c r="D237" s="3">
        <v>86</v>
      </c>
      <c r="K237"/>
      <c r="N237"/>
      <c r="O237"/>
      <c r="P237"/>
    </row>
    <row r="238" spans="1:18" x14ac:dyDescent="0.3">
      <c r="A238" s="4">
        <v>61</v>
      </c>
      <c r="B238" s="4">
        <v>65</v>
      </c>
      <c r="C238" s="4">
        <v>81</v>
      </c>
      <c r="D238" s="4">
        <v>62</v>
      </c>
      <c r="F238" t="s">
        <v>260</v>
      </c>
      <c r="K238"/>
      <c r="N238"/>
      <c r="O238"/>
      <c r="P238"/>
    </row>
    <row r="239" spans="1:18" x14ac:dyDescent="0.3">
      <c r="A239" s="3">
        <v>79</v>
      </c>
      <c r="B239" s="3">
        <v>57</v>
      </c>
      <c r="C239" s="3">
        <v>68</v>
      </c>
      <c r="D239" s="3">
        <v>66</v>
      </c>
      <c r="K239"/>
      <c r="N239"/>
      <c r="O239"/>
      <c r="P239"/>
    </row>
    <row r="240" spans="1:18" x14ac:dyDescent="0.3">
      <c r="A240" s="4">
        <v>78</v>
      </c>
      <c r="B240" s="4">
        <v>69</v>
      </c>
      <c r="C240" s="4">
        <v>92</v>
      </c>
      <c r="D240" s="4">
        <v>74</v>
      </c>
      <c r="K240"/>
      <c r="N240"/>
      <c r="O240"/>
      <c r="P240"/>
    </row>
    <row r="241" spans="1:16" x14ac:dyDescent="0.3">
      <c r="A241" s="3">
        <v>63</v>
      </c>
      <c r="B241" s="3">
        <v>78</v>
      </c>
      <c r="C241" s="3">
        <v>69</v>
      </c>
      <c r="D241" s="3">
        <v>64</v>
      </c>
      <c r="K241"/>
      <c r="N241"/>
      <c r="O241"/>
      <c r="P241"/>
    </row>
    <row r="242" spans="1:16" x14ac:dyDescent="0.3">
      <c r="A242" s="4">
        <v>85</v>
      </c>
      <c r="B242" s="4">
        <v>73</v>
      </c>
      <c r="C242" s="4">
        <v>98</v>
      </c>
      <c r="D242" s="4">
        <v>65</v>
      </c>
      <c r="K242"/>
      <c r="N242"/>
      <c r="O242"/>
      <c r="P242"/>
    </row>
    <row r="243" spans="1:16" x14ac:dyDescent="0.3">
      <c r="A243" s="3">
        <v>88</v>
      </c>
      <c r="B243" s="3">
        <v>66</v>
      </c>
      <c r="C243" s="3">
        <v>97</v>
      </c>
      <c r="D243" s="3">
        <v>76</v>
      </c>
      <c r="K243"/>
      <c r="N243"/>
      <c r="O243"/>
      <c r="P243"/>
    </row>
    <row r="244" spans="1:16" x14ac:dyDescent="0.3">
      <c r="A244" s="4">
        <v>73</v>
      </c>
      <c r="B244" s="4">
        <v>61</v>
      </c>
      <c r="C244" s="4">
        <v>76</v>
      </c>
      <c r="D244" s="4">
        <v>67</v>
      </c>
      <c r="K244"/>
      <c r="N244"/>
      <c r="O244"/>
      <c r="P244"/>
    </row>
    <row r="245" spans="1:16" x14ac:dyDescent="0.3">
      <c r="A245" s="3">
        <v>57</v>
      </c>
      <c r="B245" s="3">
        <v>92</v>
      </c>
      <c r="C245" s="3">
        <v>70</v>
      </c>
      <c r="D245" s="3">
        <v>82</v>
      </c>
      <c r="K245"/>
      <c r="N245"/>
      <c r="O245"/>
      <c r="P245"/>
    </row>
    <row r="246" spans="1:16" x14ac:dyDescent="0.3">
      <c r="A246" s="4">
        <v>84</v>
      </c>
      <c r="B246" s="4">
        <v>70</v>
      </c>
      <c r="C246" s="4">
        <v>56</v>
      </c>
      <c r="D246" s="4">
        <v>91</v>
      </c>
      <c r="K246"/>
      <c r="N246"/>
      <c r="O246"/>
      <c r="P246"/>
    </row>
    <row r="247" spans="1:16" x14ac:dyDescent="0.3">
      <c r="A247" s="3">
        <v>65</v>
      </c>
      <c r="B247" s="20">
        <v>87</v>
      </c>
      <c r="C247" s="3">
        <v>99</v>
      </c>
      <c r="D247" s="3">
        <v>70</v>
      </c>
      <c r="K247"/>
      <c r="N247"/>
      <c r="O247"/>
      <c r="P247"/>
    </row>
    <row r="248" spans="1:16" x14ac:dyDescent="0.3">
      <c r="A248" s="4">
        <v>59</v>
      </c>
      <c r="C248" s="4">
        <v>62</v>
      </c>
      <c r="D248" s="6">
        <v>76</v>
      </c>
      <c r="K248"/>
      <c r="N248"/>
      <c r="O248"/>
      <c r="P248"/>
    </row>
    <row r="249" spans="1:16" x14ac:dyDescent="0.3">
      <c r="A249" s="3">
        <v>94</v>
      </c>
      <c r="C249" s="20">
        <v>66</v>
      </c>
      <c r="K249"/>
      <c r="N249"/>
      <c r="O249"/>
      <c r="P249"/>
    </row>
    <row r="250" spans="1:16" x14ac:dyDescent="0.3">
      <c r="A250" s="4">
        <v>95</v>
      </c>
      <c r="K250"/>
      <c r="N250"/>
      <c r="O250"/>
      <c r="P250"/>
    </row>
    <row r="251" spans="1:16" x14ac:dyDescent="0.3">
      <c r="A251" s="3">
        <v>88</v>
      </c>
      <c r="K251"/>
      <c r="N251"/>
      <c r="O251"/>
      <c r="P251"/>
    </row>
    <row r="252" spans="1:16" x14ac:dyDescent="0.3">
      <c r="A252" s="4">
        <v>78</v>
      </c>
      <c r="K252"/>
      <c r="N252"/>
      <c r="O252"/>
      <c r="P252"/>
    </row>
    <row r="253" spans="1:16" x14ac:dyDescent="0.3">
      <c r="A253" s="3">
        <v>68</v>
      </c>
      <c r="K253"/>
      <c r="N253"/>
      <c r="O253"/>
      <c r="P253"/>
    </row>
    <row r="254" spans="1:16" x14ac:dyDescent="0.3">
      <c r="A254" s="6">
        <v>69</v>
      </c>
      <c r="K254"/>
      <c r="N254"/>
      <c r="O254"/>
      <c r="P254"/>
    </row>
    <row r="255" spans="1:16" x14ac:dyDescent="0.3">
      <c r="A255" s="21"/>
      <c r="K255"/>
      <c r="N255"/>
      <c r="O255"/>
      <c r="P255"/>
    </row>
    <row r="256" spans="1:16" x14ac:dyDescent="0.3">
      <c r="K256"/>
      <c r="N256"/>
      <c r="O256"/>
      <c r="P256"/>
    </row>
    <row r="257" spans="1:16" ht="15.6" x14ac:dyDescent="0.3">
      <c r="A257" s="32" t="s">
        <v>261</v>
      </c>
      <c r="K257"/>
      <c r="N257"/>
      <c r="O257"/>
      <c r="P257"/>
    </row>
    <row r="258" spans="1:16" ht="15.6" x14ac:dyDescent="0.3">
      <c r="A258" s="32" t="s">
        <v>262</v>
      </c>
      <c r="K258"/>
      <c r="N258"/>
      <c r="O258"/>
      <c r="P258"/>
    </row>
    <row r="259" spans="1:16" x14ac:dyDescent="0.3">
      <c r="A259" s="33" t="s">
        <v>233</v>
      </c>
      <c r="K259"/>
      <c r="N259"/>
      <c r="O259"/>
      <c r="P259"/>
    </row>
    <row r="260" spans="1:16" x14ac:dyDescent="0.3">
      <c r="A260" t="s">
        <v>234</v>
      </c>
    </row>
    <row r="261" spans="1:16" x14ac:dyDescent="0.3">
      <c r="A261" t="s">
        <v>263</v>
      </c>
    </row>
    <row r="263" spans="1:16" x14ac:dyDescent="0.3">
      <c r="A263" t="s">
        <v>236</v>
      </c>
    </row>
    <row r="264" spans="1:16" x14ac:dyDescent="0.3">
      <c r="A264" t="s">
        <v>264</v>
      </c>
    </row>
    <row r="268" spans="1:16" x14ac:dyDescent="0.3">
      <c r="A268" s="22" t="s">
        <v>268</v>
      </c>
      <c r="B268" s="22" t="s">
        <v>267</v>
      </c>
    </row>
    <row r="269" spans="1:16" x14ac:dyDescent="0.3">
      <c r="A269" s="22" t="s">
        <v>265</v>
      </c>
      <c r="B269" t="s">
        <v>22</v>
      </c>
      <c r="C269" t="s">
        <v>20</v>
      </c>
      <c r="D269" t="s">
        <v>266</v>
      </c>
    </row>
    <row r="270" spans="1:16" x14ac:dyDescent="0.3">
      <c r="A270" s="23" t="s">
        <v>33</v>
      </c>
      <c r="B270" s="24">
        <v>16</v>
      </c>
      <c r="C270" s="24">
        <v>13</v>
      </c>
      <c r="D270" s="24">
        <v>29</v>
      </c>
    </row>
    <row r="271" spans="1:16" x14ac:dyDescent="0.3">
      <c r="A271" s="23" t="s">
        <v>24</v>
      </c>
      <c r="B271" s="24">
        <v>22</v>
      </c>
      <c r="C271" s="24">
        <v>7</v>
      </c>
      <c r="D271" s="24">
        <v>29</v>
      </c>
    </row>
    <row r="272" spans="1:16" x14ac:dyDescent="0.3">
      <c r="A272" s="23" t="s">
        <v>15</v>
      </c>
      <c r="B272" s="24">
        <v>21</v>
      </c>
      <c r="C272" s="24">
        <v>7</v>
      </c>
      <c r="D272" s="24">
        <v>28</v>
      </c>
    </row>
    <row r="273" spans="1:4" x14ac:dyDescent="0.3">
      <c r="A273" s="23" t="s">
        <v>31</v>
      </c>
      <c r="B273" s="24">
        <v>24</v>
      </c>
      <c r="C273" s="24">
        <v>10</v>
      </c>
      <c r="D273" s="24">
        <v>34</v>
      </c>
    </row>
    <row r="274" spans="1:4" x14ac:dyDescent="0.3">
      <c r="A274" s="23" t="s">
        <v>266</v>
      </c>
      <c r="B274" s="24">
        <v>83</v>
      </c>
      <c r="C274" s="24">
        <v>37</v>
      </c>
      <c r="D274" s="24">
        <v>120</v>
      </c>
    </row>
    <row r="276" spans="1:4" x14ac:dyDescent="0.3">
      <c r="A276" s="35" t="s">
        <v>269</v>
      </c>
    </row>
    <row r="277" spans="1:4" x14ac:dyDescent="0.3">
      <c r="A277" s="23" t="s">
        <v>270</v>
      </c>
      <c r="B277" t="s">
        <v>22</v>
      </c>
      <c r="C277" t="s">
        <v>20</v>
      </c>
    </row>
    <row r="278" spans="1:4" x14ac:dyDescent="0.3">
      <c r="A278" s="23" t="s">
        <v>33</v>
      </c>
      <c r="B278">
        <f>ROUND((GETPIVOTDATA("Project_Status",$A$268,"Department","Finance")*GETPIVOTDATA("Project_Status",$A$268,"Project_Status","Completed"))/GETPIVOTDATA("Project_Status",$A$268),3)</f>
        <v>20.058</v>
      </c>
      <c r="C278">
        <f>ROUND((GETPIVOTDATA("Project_Status",$A$268,"Department","Finance")*GETPIVOTDATA("Project_Status",$A$268,"Project_Status","Delayed"))/GETPIVOTDATA("Project_Status",$A$268),3)</f>
        <v>8.9420000000000002</v>
      </c>
    </row>
    <row r="279" spans="1:4" x14ac:dyDescent="0.3">
      <c r="A279" s="23" t="s">
        <v>24</v>
      </c>
      <c r="B279">
        <f>ROUND((GETPIVOTDATA("Project_Status",$A$268,"Department","Marketing")*GETPIVOTDATA("Project_Status",$A$268,"Project_Status","Completed"))/GETPIVOTDATA("Project_Status",$A$268),3)</f>
        <v>20.058</v>
      </c>
      <c r="C279">
        <f>ROUND((GETPIVOTDATA("Project_Status",$A$268,"Department","Marketing")*GETPIVOTDATA("Project_Status",$A$268,"Project_Status","Delayed"))/GETPIVOTDATA("Project_Status",$A$268),3)</f>
        <v>8.9420000000000002</v>
      </c>
    </row>
    <row r="280" spans="1:4" x14ac:dyDescent="0.3">
      <c r="A280" s="23" t="s">
        <v>15</v>
      </c>
      <c r="B280">
        <f>ROUND((GETPIVOTDATA("Project_Status",$A$268,"Department","Operations")*GETPIVOTDATA("Project_Status",$A$268,"Project_Status","Completed"))/GETPIVOTDATA("Project_Status",$A$268),3)</f>
        <v>19.367000000000001</v>
      </c>
      <c r="C280">
        <f>ROUND((GETPIVOTDATA("Project_Status",$A$268,"Department","Operations")*GETPIVOTDATA("Project_Status",$A$268,"Project_Status","Delayed"))/GETPIVOTDATA("Project_Status",$A$268),3)</f>
        <v>8.6329999999999991</v>
      </c>
    </row>
    <row r="281" spans="1:4" x14ac:dyDescent="0.3">
      <c r="A281" s="23" t="s">
        <v>31</v>
      </c>
      <c r="B281">
        <f>ROUND((GETPIVOTDATA("Project_Status",$A$268,"Department","Sales")*GETPIVOTDATA("Project_Status",$A$268,"Project_Status","Completed"))/GETPIVOTDATA("Project_Status",$A$268),3)</f>
        <v>23.516999999999999</v>
      </c>
      <c r="C281">
        <f>ROUND((GETPIVOTDATA("Project_Status",$A$268,"Department","Sales")*GETPIVOTDATA("Project_Status",$A$268,"Project_Status","Delayed"))/GETPIVOTDATA("Project_Status",$A$268),3)</f>
        <v>10.483000000000001</v>
      </c>
    </row>
    <row r="283" spans="1:4" x14ac:dyDescent="0.3">
      <c r="A283" s="35" t="s">
        <v>271</v>
      </c>
    </row>
    <row r="284" spans="1:4" x14ac:dyDescent="0.3">
      <c r="A284" s="7" t="s">
        <v>1</v>
      </c>
      <c r="B284" s="7" t="s">
        <v>22</v>
      </c>
      <c r="C284" s="7" t="s">
        <v>20</v>
      </c>
    </row>
    <row r="285" spans="1:4" x14ac:dyDescent="0.3">
      <c r="A285" s="8" t="s">
        <v>33</v>
      </c>
      <c r="B285" s="26">
        <f>((GETPIVOTDATA("Project_Status",$A$268,"Department","Finance","Project_Status","Completed")-B278)^2)/B278</f>
        <v>0.82098733672350188</v>
      </c>
      <c r="C285" s="26">
        <f>((GETPIVOTDATA("Project_Status",$A$268,"Department","Finance","Project_Status","Delayed")-C278)^2)/C278</f>
        <v>1.8415750391411316</v>
      </c>
    </row>
    <row r="286" spans="1:4" x14ac:dyDescent="0.3">
      <c r="A286" s="8" t="s">
        <v>24</v>
      </c>
      <c r="B286" s="26">
        <f>((GETPIVOTDATA("Project_Status",$A$268,"Department","Marketing","Project_Status","Completed")-B279)^2)/B279</f>
        <v>0.18802293349287072</v>
      </c>
      <c r="C286" s="26">
        <f>((GETPIVOTDATA("Project_Status",$A$268,"Department","Marketing","Project_Status","Delayed")-C279)^2)/C279</f>
        <v>0.42175844330127493</v>
      </c>
    </row>
    <row r="287" spans="1:4" x14ac:dyDescent="0.3">
      <c r="A287" s="8" t="s">
        <v>15</v>
      </c>
      <c r="B287" s="26">
        <f>((GETPIVOTDATA("Project_Status",$A$268,"Department","Operations","Project_Status","Completed")-B280)^2)/B280</f>
        <v>0.13769241493261719</v>
      </c>
      <c r="C287" s="26">
        <f>((GETPIVOTDATA("Project_Status",$A$268,"Department","Operations","Project_Status","Delayed")-C280)^2/C280)</f>
        <v>0.30889482219390679</v>
      </c>
    </row>
    <row r="288" spans="1:4" x14ac:dyDescent="0.3">
      <c r="A288" s="8" t="s">
        <v>31</v>
      </c>
      <c r="B288" s="25">
        <f>((GETPIVOTDATA("Project_Status",$A$268,"Department","Sales","Project_Status","Completed")-B281)^2)/B281</f>
        <v>9.9200153080750315E-3</v>
      </c>
      <c r="C288" s="25">
        <f>((GETPIVOTDATA("Project_Status",$A$268,"Department","Sales","Project_Status","Delayed")-C281)^2/C281)</f>
        <v>2.2254030334827864E-2</v>
      </c>
    </row>
    <row r="290" spans="1:2" x14ac:dyDescent="0.3">
      <c r="A290" s="8" t="s">
        <v>272</v>
      </c>
      <c r="B290" s="27">
        <f>SUM(B285:C288)</f>
        <v>3.7511050354282056</v>
      </c>
    </row>
    <row r="292" spans="1:2" x14ac:dyDescent="0.3">
      <c r="A292" s="8" t="s">
        <v>273</v>
      </c>
      <c r="B292" s="29">
        <f>_xlfn.CHISQ.DIST.RT(B290,3)</f>
        <v>0.28962488959704935</v>
      </c>
    </row>
    <row r="294" spans="1:2" x14ac:dyDescent="0.3">
      <c r="A294" t="s">
        <v>274</v>
      </c>
    </row>
    <row r="297" spans="1:2" ht="15.6" x14ac:dyDescent="0.3">
      <c r="A297" s="32" t="s">
        <v>275</v>
      </c>
    </row>
    <row r="298" spans="1:2" ht="15.6" x14ac:dyDescent="0.3">
      <c r="A298" s="32" t="s">
        <v>276</v>
      </c>
    </row>
    <row r="299" spans="1:2" x14ac:dyDescent="0.3">
      <c r="A299" s="33" t="s">
        <v>277</v>
      </c>
    </row>
    <row r="300" spans="1:2" x14ac:dyDescent="0.3">
      <c r="A300" s="34" t="s">
        <v>304</v>
      </c>
      <c r="B300" s="27">
        <f>CORREL(K2:K121,N2:N121)</f>
        <v>0.95656287513673266</v>
      </c>
    </row>
    <row r="318" spans="1:2" x14ac:dyDescent="0.3">
      <c r="A318" t="s">
        <v>278</v>
      </c>
    </row>
    <row r="319" spans="1:2" x14ac:dyDescent="0.3">
      <c r="A319" s="34" t="s">
        <v>304</v>
      </c>
      <c r="B319" s="27">
        <f>CORREL(L2:L121,Q2:Q121)</f>
        <v>0.91833442070595628</v>
      </c>
    </row>
    <row r="337" spans="1:2" x14ac:dyDescent="0.3">
      <c r="A337" t="s">
        <v>279</v>
      </c>
    </row>
    <row r="338" spans="1:2" x14ac:dyDescent="0.3">
      <c r="A338" s="34" t="s">
        <v>304</v>
      </c>
      <c r="B338" s="28">
        <f>CORREL(M2:M121,N2:N121)</f>
        <v>6.4434119702078876E-3</v>
      </c>
    </row>
    <row r="357" spans="1:11" ht="15.6" x14ac:dyDescent="0.3">
      <c r="A357" s="32" t="s">
        <v>280</v>
      </c>
    </row>
    <row r="358" spans="1:11" ht="15.6" x14ac:dyDescent="0.3">
      <c r="A358" s="32" t="s">
        <v>281</v>
      </c>
    </row>
    <row r="359" spans="1:11" x14ac:dyDescent="0.3">
      <c r="A359" t="s">
        <v>282</v>
      </c>
    </row>
    <row r="361" spans="1:11" x14ac:dyDescent="0.3">
      <c r="A361" t="s">
        <v>283</v>
      </c>
      <c r="K361"/>
    </row>
    <row r="362" spans="1:11" ht="15" thickBot="1" x14ac:dyDescent="0.35">
      <c r="K362"/>
    </row>
    <row r="363" spans="1:11" x14ac:dyDescent="0.3">
      <c r="A363" s="30" t="s">
        <v>284</v>
      </c>
      <c r="B363" s="30"/>
      <c r="K363"/>
    </row>
    <row r="364" spans="1:11" x14ac:dyDescent="0.3">
      <c r="A364" s="16" t="s">
        <v>285</v>
      </c>
      <c r="B364" s="16">
        <v>0.96820085190082583</v>
      </c>
      <c r="K364"/>
    </row>
    <row r="365" spans="1:11" x14ac:dyDescent="0.3">
      <c r="A365" s="16" t="s">
        <v>286</v>
      </c>
      <c r="B365" s="16">
        <v>0.93741288962148495</v>
      </c>
      <c r="K365"/>
    </row>
    <row r="366" spans="1:11" x14ac:dyDescent="0.3">
      <c r="A366" s="16" t="s">
        <v>287</v>
      </c>
      <c r="B366" s="16">
        <v>0.93579425745652345</v>
      </c>
      <c r="K366"/>
    </row>
    <row r="367" spans="1:11" x14ac:dyDescent="0.3">
      <c r="A367" s="16" t="s">
        <v>288</v>
      </c>
      <c r="B367" s="16">
        <v>8837.9682731206594</v>
      </c>
      <c r="K367"/>
    </row>
    <row r="368" spans="1:11" ht="15" thickBot="1" x14ac:dyDescent="0.35">
      <c r="A368" s="17" t="s">
        <v>225</v>
      </c>
      <c r="B368" s="17">
        <v>120</v>
      </c>
      <c r="K368"/>
    </row>
    <row r="369" spans="1:13" x14ac:dyDescent="0.3">
      <c r="K369"/>
    </row>
    <row r="370" spans="1:13" ht="15" thickBot="1" x14ac:dyDescent="0.35">
      <c r="A370" t="s">
        <v>250</v>
      </c>
      <c r="K370"/>
    </row>
    <row r="371" spans="1:13" x14ac:dyDescent="0.3">
      <c r="A371" s="18"/>
      <c r="B371" s="18" t="s">
        <v>227</v>
      </c>
      <c r="C371" s="18" t="s">
        <v>252</v>
      </c>
      <c r="D371" s="18" t="s">
        <v>253</v>
      </c>
      <c r="E371" s="18" t="s">
        <v>254</v>
      </c>
      <c r="F371" s="18" t="s">
        <v>292</v>
      </c>
      <c r="G371" s="31"/>
      <c r="H371" s="31"/>
      <c r="I371" s="31"/>
      <c r="J371" s="31"/>
      <c r="K371"/>
    </row>
    <row r="372" spans="1:13" x14ac:dyDescent="0.3">
      <c r="A372" s="16" t="s">
        <v>289</v>
      </c>
      <c r="B372" s="16">
        <v>3</v>
      </c>
      <c r="C372" s="16">
        <v>135709073533.50922</v>
      </c>
      <c r="D372" s="16">
        <v>45236357844.503075</v>
      </c>
      <c r="E372" s="16">
        <v>579.13892353901588</v>
      </c>
      <c r="F372" s="16">
        <v>1.3161221295728842E-69</v>
      </c>
      <c r="G372" s="16"/>
      <c r="H372" s="16"/>
      <c r="I372" s="16"/>
      <c r="J372" s="16"/>
      <c r="K372"/>
    </row>
    <row r="373" spans="1:13" x14ac:dyDescent="0.3">
      <c r="A373" s="16" t="s">
        <v>290</v>
      </c>
      <c r="B373" s="16">
        <v>116</v>
      </c>
      <c r="C373" s="16">
        <v>9060723250.815733</v>
      </c>
      <c r="D373" s="16">
        <v>78109683.196687356</v>
      </c>
      <c r="E373" s="16"/>
      <c r="F373" s="16"/>
      <c r="G373" s="16"/>
      <c r="H373" s="16"/>
      <c r="I373" s="16"/>
      <c r="J373" s="16"/>
      <c r="K373"/>
    </row>
    <row r="374" spans="1:13" ht="15" thickBot="1" x14ac:dyDescent="0.35">
      <c r="A374" s="17" t="s">
        <v>259</v>
      </c>
      <c r="B374" s="17">
        <v>119</v>
      </c>
      <c r="C374" s="17">
        <v>144769796784.32495</v>
      </c>
      <c r="D374" s="17"/>
      <c r="E374" s="17"/>
      <c r="F374" s="17"/>
      <c r="G374" s="16"/>
      <c r="H374" s="16"/>
      <c r="I374" s="16"/>
      <c r="J374" s="16"/>
      <c r="K374"/>
    </row>
    <row r="375" spans="1:13" ht="15" thickBot="1" x14ac:dyDescent="0.35">
      <c r="K375"/>
    </row>
    <row r="376" spans="1:13" x14ac:dyDescent="0.3">
      <c r="A376" s="18"/>
      <c r="B376" s="18" t="s">
        <v>293</v>
      </c>
      <c r="C376" s="18" t="s">
        <v>288</v>
      </c>
      <c r="D376" s="18" t="s">
        <v>228</v>
      </c>
      <c r="E376" s="18" t="s">
        <v>255</v>
      </c>
      <c r="F376" s="18" t="s">
        <v>294</v>
      </c>
      <c r="G376" s="18"/>
      <c r="H376" s="18"/>
      <c r="I376" s="18"/>
      <c r="J376" s="18"/>
      <c r="K376" s="18" t="s">
        <v>295</v>
      </c>
      <c r="L376" s="18" t="s">
        <v>296</v>
      </c>
      <c r="M376" s="18" t="s">
        <v>297</v>
      </c>
    </row>
    <row r="377" spans="1:13" x14ac:dyDescent="0.3">
      <c r="A377" s="16" t="s">
        <v>291</v>
      </c>
      <c r="B377" s="16">
        <v>1914.930789539867</v>
      </c>
      <c r="C377" s="16">
        <v>3984.0619420284847</v>
      </c>
      <c r="D377" s="16">
        <v>0.4806478456920979</v>
      </c>
      <c r="E377" s="16">
        <v>0.63167206862375824</v>
      </c>
      <c r="F377" s="16">
        <v>-5976.0058882494095</v>
      </c>
      <c r="G377" s="16"/>
      <c r="H377" s="16"/>
      <c r="I377" s="16"/>
      <c r="J377" s="16"/>
      <c r="K377" s="16">
        <v>9805.8674673291425</v>
      </c>
      <c r="L377" s="16">
        <v>-5976.0058882494095</v>
      </c>
      <c r="M377" s="16">
        <v>9805.8674673291425</v>
      </c>
    </row>
    <row r="378" spans="1:13" x14ac:dyDescent="0.3">
      <c r="A378" s="16" t="s">
        <v>6</v>
      </c>
      <c r="B378" s="16">
        <v>3.5434229825417916</v>
      </c>
      <c r="C378" s="16">
        <v>0.84908093522899908</v>
      </c>
      <c r="D378" s="16">
        <v>4.1732452532173774</v>
      </c>
      <c r="E378" s="16">
        <v>5.8293400569676867E-5</v>
      </c>
      <c r="F378" s="16">
        <v>1.8617112040349535</v>
      </c>
      <c r="G378" s="16"/>
      <c r="H378" s="16"/>
      <c r="I378" s="16"/>
      <c r="J378" s="16"/>
      <c r="K378" s="16">
        <v>5.2251347610486292</v>
      </c>
      <c r="L378" s="16">
        <v>1.8617112040349535</v>
      </c>
      <c r="M378" s="16">
        <v>5.2251347610486292</v>
      </c>
    </row>
    <row r="379" spans="1:13" x14ac:dyDescent="0.3">
      <c r="A379" s="16" t="s">
        <v>7</v>
      </c>
      <c r="B379" s="16">
        <v>0.44434073104031463</v>
      </c>
      <c r="C379" s="16">
        <v>0.28243691994856851</v>
      </c>
      <c r="D379" s="16">
        <v>1.5732388354937048</v>
      </c>
      <c r="E379" s="16">
        <v>0.11838711871264414</v>
      </c>
      <c r="F379" s="16">
        <v>-0.11506117666427668</v>
      </c>
      <c r="G379" s="16"/>
      <c r="H379" s="16"/>
      <c r="I379" s="16"/>
      <c r="J379" s="16"/>
      <c r="K379" s="16">
        <v>1.003742638744906</v>
      </c>
      <c r="L379" s="16">
        <v>-0.11506117666427668</v>
      </c>
      <c r="M379" s="16">
        <v>1.003742638744906</v>
      </c>
    </row>
    <row r="380" spans="1:13" ht="15" thickBot="1" x14ac:dyDescent="0.35">
      <c r="A380" s="17" t="s">
        <v>8</v>
      </c>
      <c r="B380" s="17">
        <v>124.91620052796304</v>
      </c>
      <c r="C380" s="17">
        <v>19.721220759516708</v>
      </c>
      <c r="D380" s="17">
        <v>6.3341008171455746</v>
      </c>
      <c r="E380" s="17">
        <v>4.6944799970703667E-9</v>
      </c>
      <c r="F380" s="17">
        <v>85.855837891428251</v>
      </c>
      <c r="G380" s="17"/>
      <c r="H380" s="17"/>
      <c r="I380" s="17"/>
      <c r="J380" s="17"/>
      <c r="K380" s="17">
        <v>163.97656316449783</v>
      </c>
      <c r="L380" s="17">
        <v>85.855837891428251</v>
      </c>
      <c r="M380" s="17">
        <v>163.97656316449783</v>
      </c>
    </row>
    <row r="381" spans="1:13" x14ac:dyDescent="0.3">
      <c r="K381"/>
    </row>
    <row r="382" spans="1:13" x14ac:dyDescent="0.3">
      <c r="K382"/>
    </row>
    <row r="383" spans="1:13" x14ac:dyDescent="0.3">
      <c r="K383"/>
    </row>
    <row r="384" spans="1:13" ht="15.6" x14ac:dyDescent="0.3">
      <c r="A384" s="32" t="s">
        <v>298</v>
      </c>
    </row>
  </sheetData>
  <pageMargins left="0.75" right="0.75" top="1" bottom="1" header="0.5" footer="0.5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BEFC-FD40-4F45-B301-1B9D67C0D015}">
  <dimension ref="A3:B14"/>
  <sheetViews>
    <sheetView workbookViewId="0">
      <selection sqref="A1:I32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22" t="s">
        <v>265</v>
      </c>
      <c r="B3" t="s">
        <v>311</v>
      </c>
    </row>
    <row r="4" spans="1:2" x14ac:dyDescent="0.3">
      <c r="A4" s="23">
        <v>2016</v>
      </c>
      <c r="B4" s="38">
        <v>110983.25</v>
      </c>
    </row>
    <row r="5" spans="1:2" x14ac:dyDescent="0.3">
      <c r="A5" s="23">
        <v>2017</v>
      </c>
      <c r="B5" s="38">
        <v>107923.16666666667</v>
      </c>
    </row>
    <row r="6" spans="1:2" x14ac:dyDescent="0.3">
      <c r="A6" s="23">
        <v>2018</v>
      </c>
      <c r="B6" s="38">
        <v>98397.75</v>
      </c>
    </row>
    <row r="7" spans="1:2" x14ac:dyDescent="0.3">
      <c r="A7" s="23">
        <v>2019</v>
      </c>
      <c r="B7" s="38">
        <v>85347.583333333328</v>
      </c>
    </row>
    <row r="8" spans="1:2" x14ac:dyDescent="0.3">
      <c r="A8" s="23">
        <v>2020</v>
      </c>
      <c r="B8" s="38">
        <v>107448.83333333333</v>
      </c>
    </row>
    <row r="9" spans="1:2" x14ac:dyDescent="0.3">
      <c r="A9" s="23">
        <v>2021</v>
      </c>
      <c r="B9" s="38">
        <v>109663.41666666667</v>
      </c>
    </row>
    <row r="10" spans="1:2" x14ac:dyDescent="0.3">
      <c r="A10" s="23">
        <v>2022</v>
      </c>
      <c r="B10" s="38">
        <v>104574.41666666667</v>
      </c>
    </row>
    <row r="11" spans="1:2" x14ac:dyDescent="0.3">
      <c r="A11" s="23">
        <v>2023</v>
      </c>
      <c r="B11" s="38">
        <v>107101.41666666667</v>
      </c>
    </row>
    <row r="12" spans="1:2" x14ac:dyDescent="0.3">
      <c r="A12" s="23">
        <v>2024</v>
      </c>
      <c r="B12" s="38">
        <v>99986</v>
      </c>
    </row>
    <row r="13" spans="1:2" x14ac:dyDescent="0.3">
      <c r="A13" s="23">
        <v>2025</v>
      </c>
      <c r="B13" s="38">
        <v>99134.916666666672</v>
      </c>
    </row>
    <row r="14" spans="1:2" x14ac:dyDescent="0.3">
      <c r="A14" s="23" t="s">
        <v>266</v>
      </c>
      <c r="B14" s="38">
        <v>103056.075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9794-645A-44E9-92C2-A40787C83077}">
  <dimension ref="A3:B8"/>
  <sheetViews>
    <sheetView topLeftCell="A3" workbookViewId="0">
      <selection activeCell="A2" sqref="A2:D29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25.6640625" bestFit="1" customWidth="1"/>
  </cols>
  <sheetData>
    <row r="3" spans="1:2" x14ac:dyDescent="0.3">
      <c r="A3" s="22" t="s">
        <v>265</v>
      </c>
      <c r="B3" t="s">
        <v>311</v>
      </c>
    </row>
    <row r="4" spans="1:2" x14ac:dyDescent="0.3">
      <c r="A4" s="23" t="s">
        <v>307</v>
      </c>
      <c r="B4" s="38">
        <v>102395.26666666666</v>
      </c>
    </row>
    <row r="5" spans="1:2" x14ac:dyDescent="0.3">
      <c r="A5" s="23" t="s">
        <v>308</v>
      </c>
      <c r="B5" s="38">
        <v>108133.2</v>
      </c>
    </row>
    <row r="6" spans="1:2" x14ac:dyDescent="0.3">
      <c r="A6" s="23" t="s">
        <v>309</v>
      </c>
      <c r="B6" s="38">
        <v>106151.56666666667</v>
      </c>
    </row>
    <row r="7" spans="1:2" x14ac:dyDescent="0.3">
      <c r="A7" s="23" t="s">
        <v>310</v>
      </c>
      <c r="B7" s="38">
        <v>95544.266666666663</v>
      </c>
    </row>
    <row r="8" spans="1:2" x14ac:dyDescent="0.3">
      <c r="A8" s="23" t="s">
        <v>266</v>
      </c>
      <c r="B8" s="38">
        <v>103056.075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Instruction_Guide</vt:lpstr>
      <vt:lpstr>Dataset</vt:lpstr>
      <vt:lpstr>Yearly Trend Sheet</vt:lpstr>
      <vt:lpstr>Quarterly Revenue 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Omotoye</cp:lastModifiedBy>
  <dcterms:created xsi:type="dcterms:W3CDTF">2026-05-23T03:55:43Z</dcterms:created>
  <dcterms:modified xsi:type="dcterms:W3CDTF">2026-05-24T09:30:23Z</dcterms:modified>
</cp:coreProperties>
</file>