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7F8DFD04-02C7-47E4-98FB-92B849D9996E}" xr6:coauthVersionLast="47" xr6:coauthVersionMax="47" xr10:uidLastSave="{00000000-0000-0000-0000-000000000000}"/>
  <bookViews>
    <workbookView xWindow="-108" yWindow="-108" windowWidth="23256" windowHeight="12456" xr2:uid="{225FEC4E-A27A-4F4E-B6E3-1F5E5D7FAE38}"/>
  </bookViews>
  <sheets>
    <sheet name="Day 24" sheetId="1" r:id="rId1"/>
  </sheets>
  <externalReferences>
    <externalReference r:id="rId2"/>
  </externalReferences>
  <calcPr calcId="191029"/>
  <pivotCaches>
    <pivotCache cacheId="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" i="1" l="1"/>
  <c r="B92" i="1"/>
  <c r="J41" i="1"/>
  <c r="I41" i="1"/>
  <c r="H41" i="1"/>
  <c r="I40" i="1"/>
  <c r="J40" i="1" s="1"/>
  <c r="H40" i="1"/>
  <c r="I39" i="1"/>
  <c r="J39" i="1" s="1"/>
  <c r="H39" i="1"/>
  <c r="I38" i="1"/>
  <c r="J38" i="1" s="1"/>
  <c r="H38" i="1"/>
  <c r="J37" i="1"/>
  <c r="I37" i="1"/>
  <c r="H37" i="1"/>
  <c r="I36" i="1"/>
  <c r="J36" i="1" s="1"/>
  <c r="H36" i="1"/>
  <c r="I35" i="1"/>
  <c r="J35" i="1" s="1"/>
  <c r="H35" i="1"/>
  <c r="I34" i="1"/>
  <c r="J34" i="1" s="1"/>
  <c r="H34" i="1"/>
  <c r="J33" i="1"/>
  <c r="I33" i="1"/>
  <c r="H33" i="1"/>
  <c r="I32" i="1"/>
  <c r="J32" i="1" s="1"/>
  <c r="H32" i="1"/>
  <c r="I31" i="1"/>
  <c r="J31" i="1" s="1"/>
  <c r="H31" i="1"/>
  <c r="I30" i="1"/>
  <c r="J30" i="1" s="1"/>
  <c r="H30" i="1"/>
  <c r="J29" i="1"/>
  <c r="I29" i="1"/>
  <c r="H29" i="1"/>
  <c r="I28" i="1"/>
  <c r="J28" i="1" s="1"/>
  <c r="H28" i="1"/>
  <c r="I27" i="1"/>
  <c r="J27" i="1" s="1"/>
  <c r="H27" i="1"/>
  <c r="I26" i="1"/>
  <c r="J26" i="1" s="1"/>
  <c r="H26" i="1"/>
  <c r="J25" i="1"/>
  <c r="I25" i="1"/>
  <c r="H25" i="1"/>
  <c r="I24" i="1"/>
  <c r="J24" i="1" s="1"/>
  <c r="H24" i="1"/>
  <c r="I23" i="1"/>
  <c r="J23" i="1" s="1"/>
  <c r="H23" i="1"/>
  <c r="I22" i="1"/>
  <c r="J22" i="1" s="1"/>
  <c r="H22" i="1"/>
  <c r="J21" i="1"/>
  <c r="I21" i="1"/>
  <c r="H21" i="1"/>
  <c r="I20" i="1"/>
  <c r="J20" i="1" s="1"/>
  <c r="H20" i="1"/>
  <c r="I19" i="1"/>
  <c r="J19" i="1" s="1"/>
  <c r="H19" i="1"/>
  <c r="I18" i="1"/>
  <c r="J18" i="1" s="1"/>
  <c r="H18" i="1"/>
  <c r="J17" i="1"/>
  <c r="I17" i="1"/>
  <c r="H17" i="1"/>
  <c r="I16" i="1"/>
  <c r="J16" i="1" s="1"/>
  <c r="H16" i="1"/>
  <c r="I15" i="1"/>
  <c r="J15" i="1" s="1"/>
  <c r="H15" i="1"/>
  <c r="I14" i="1"/>
  <c r="J14" i="1" s="1"/>
  <c r="H14" i="1"/>
  <c r="J13" i="1"/>
  <c r="I13" i="1"/>
  <c r="H13" i="1"/>
  <c r="I12" i="1"/>
  <c r="J12" i="1" s="1"/>
  <c r="H12" i="1"/>
  <c r="I11" i="1"/>
  <c r="J11" i="1" s="1"/>
  <c r="H11" i="1"/>
  <c r="I10" i="1"/>
  <c r="J10" i="1" s="1"/>
  <c r="H10" i="1"/>
  <c r="J9" i="1"/>
  <c r="I9" i="1"/>
  <c r="H9" i="1"/>
  <c r="I8" i="1"/>
  <c r="J8" i="1" s="1"/>
  <c r="H8" i="1"/>
  <c r="I7" i="1"/>
  <c r="J7" i="1" s="1"/>
</calcChain>
</file>

<file path=xl/sharedStrings.xml><?xml version="1.0" encoding="utf-8"?>
<sst xmlns="http://schemas.openxmlformats.org/spreadsheetml/2006/main" count="100" uniqueCount="63">
  <si>
    <t>DAY 24: Time Series Basics</t>
  </si>
  <si>
    <t>Objective</t>
  </si>
  <si>
    <t>Analyze trend, seasonality, cyclicality, and noise in monthly performance data.</t>
  </si>
  <si>
    <t>Suggested Practice:</t>
  </si>
  <si>
    <t>Attempt the exercises independently before reviewing guided solutions.</t>
  </si>
  <si>
    <t>Month</t>
  </si>
  <si>
    <t>Revenue</t>
  </si>
  <si>
    <t>Orders</t>
  </si>
  <si>
    <t>Average_Order_Value</t>
  </si>
  <si>
    <t>Ad_Spend</t>
  </si>
  <si>
    <t>Website_Traffic</t>
  </si>
  <si>
    <t>Season</t>
  </si>
  <si>
    <t>3-Month Moving Average</t>
  </si>
  <si>
    <t>Revenue_Growth_Rate</t>
  </si>
  <si>
    <t>Growth_Performance_Flag</t>
  </si>
  <si>
    <t>Jan-2023</t>
  </si>
  <si>
    <t>Q1</t>
  </si>
  <si>
    <t>Mar-2023</t>
  </si>
  <si>
    <t>Apr-2023</t>
  </si>
  <si>
    <t>Q2</t>
  </si>
  <si>
    <t>May-2023</t>
  </si>
  <si>
    <t>Jun-2023</t>
  </si>
  <si>
    <t>Q3</t>
  </si>
  <si>
    <t>Jul-2023</t>
  </si>
  <si>
    <t>Aug-2023</t>
  </si>
  <si>
    <t>Sep-2023</t>
  </si>
  <si>
    <t>Q4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</si>
  <si>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</si>
  <si>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</si>
  <si>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</si>
  <si>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</si>
  <si>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</si>
  <si>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</si>
  <si>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</si>
  <si>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</si>
  <si>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</si>
  <si>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</si>
  <si>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</si>
  <si>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</si>
  <si>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</si>
  <si>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</si>
  <si>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</si>
  <si>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</si>
  <si>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</si>
  <si>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</si>
  <si>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</si>
  <si>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</si>
  <si>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</si>
  <si>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</si>
  <si>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</si>
  <si>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</si>
  <si>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</si>
  <si>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</si>
  <si>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TREND ANALYSES</t>
  </si>
  <si>
    <t>Seasonal Revenue &amp; Orders Analysis</t>
  </si>
  <si>
    <t>Row Labels</t>
  </si>
  <si>
    <t>Average of Revenue</t>
  </si>
  <si>
    <t>Average of Orders</t>
  </si>
  <si>
    <t>Grand Total</t>
  </si>
  <si>
    <t>SCATTER</t>
  </si>
  <si>
    <t>CORRELEATION</t>
  </si>
  <si>
    <t>AD VS Revenue</t>
  </si>
  <si>
    <t>Web vs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</si>
</sst>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name val="Carlito"/>
    </font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5B9BD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43" fontId="0" fillId="0" borderId="0" xfId="1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44" fontId="4" fillId="4" borderId="0" xfId="0" applyNumberFormat="1" applyFont="1" applyFill="1" applyAlignment="1">
      <alignment horizontal="center" vertical="center"/>
    </xf>
    <xf numFmtId="43" fontId="4" fillId="5" borderId="0" xfId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44" fontId="0" fillId="0" borderId="0" xfId="0" applyNumberFormat="1" applyAlignment="1">
      <alignment wrapText="1"/>
    </xf>
    <xf numFmtId="44" fontId="0" fillId="0" borderId="0" xfId="1" applyNumberFormat="1" applyFont="1" applyAlignment="1">
      <alignment wrapText="1"/>
    </xf>
    <xf numFmtId="17" fontId="0" fillId="0" borderId="0" xfId="0" applyNumberFormat="1" applyAlignment="1">
      <alignment horizontal="left" wrapText="1"/>
    </xf>
    <xf numFmtId="10" fontId="0" fillId="0" borderId="0" xfId="2" applyNumberFormat="1" applyFont="1" applyAlignment="1">
      <alignment wrapText="1"/>
    </xf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2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  <a:endParaRPr lang="en-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826334208223974E-2"/>
                  <c:y val="0.133527996500437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cat>
            <c:strRef>
              <c:f>'Day 24'!$A$6:$A$41</c:f>
              <c:strCache>
                <c:ptCount val="36"/>
                <c:pt idx="0">
                  <c:v>Jan-2023</c:v>
                </c:pt>
                <c:pt idx="1">
                  <c:v>Feb-23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May-2023</c:v>
                </c:pt>
                <c:pt idx="6">
                  <c:v>Jun-2023</c:v>
                </c:pt>
                <c:pt idx="7">
                  <c:v>Jul-2023</c:v>
                </c:pt>
                <c:pt idx="8">
                  <c:v>Aug-2023</c:v>
                </c:pt>
                <c:pt idx="9">
                  <c:v>Sep-2023</c:v>
                </c:pt>
                <c:pt idx="10">
                  <c:v>Oct-2023</c:v>
                </c:pt>
                <c:pt idx="11">
                  <c:v>Nov-2023</c:v>
                </c:pt>
                <c:pt idx="12">
                  <c:v>Dec-2023</c:v>
                </c:pt>
                <c:pt idx="13">
                  <c:v>Jan-2024</c:v>
                </c:pt>
                <c:pt idx="14">
                  <c:v>Feb-2024</c:v>
                </c:pt>
                <c:pt idx="15">
                  <c:v>Mar-2024</c:v>
                </c:pt>
                <c:pt idx="16">
                  <c:v>Apr-2024</c:v>
                </c:pt>
                <c:pt idx="17">
                  <c:v>May-2024</c:v>
                </c:pt>
                <c:pt idx="18">
                  <c:v>Jun-2024</c:v>
                </c:pt>
                <c:pt idx="19">
                  <c:v>Jul-2024</c:v>
                </c:pt>
                <c:pt idx="20">
                  <c:v>Aug-2024</c:v>
                </c:pt>
                <c:pt idx="21">
                  <c:v>Sep-2024</c:v>
                </c:pt>
                <c:pt idx="22">
                  <c:v>Oct-2024</c:v>
                </c:pt>
                <c:pt idx="23">
                  <c:v>Nov-2024</c:v>
                </c:pt>
                <c:pt idx="24">
                  <c:v>Dec-2024</c:v>
                </c:pt>
                <c:pt idx="25">
                  <c:v>Jan-2025</c:v>
                </c:pt>
                <c:pt idx="26">
                  <c:v>Feb-2025</c:v>
                </c:pt>
                <c:pt idx="27">
                  <c:v>Mar-2025</c:v>
                </c:pt>
                <c:pt idx="28">
                  <c:v>Apr-2025</c:v>
                </c:pt>
                <c:pt idx="29">
                  <c:v>May-2025</c:v>
                </c:pt>
                <c:pt idx="30">
                  <c:v>Jun-2025</c:v>
                </c:pt>
                <c:pt idx="31">
                  <c:v>Jul-2025</c:v>
                </c:pt>
                <c:pt idx="32">
                  <c:v>Aug-2025</c:v>
                </c:pt>
                <c:pt idx="33">
                  <c:v>Sep-2025</c:v>
                </c:pt>
                <c:pt idx="34">
                  <c:v>Oct-2025</c:v>
                </c:pt>
                <c:pt idx="35">
                  <c:v>Nov-2025</c:v>
                </c:pt>
              </c:strCache>
            </c:strRef>
          </c:cat>
          <c:val>
            <c:numRef>
              <c:f>'Day 24'!$B$6:$B$41</c:f>
              <c:numCache>
                <c:formatCode>_("$"* #,##0.00_);_("$"* \(#,##0.00\);_("$"* "-"??_);_(@_)</c:formatCode>
                <c:ptCount val="36"/>
                <c:pt idx="0">
                  <c:v>61544</c:v>
                </c:pt>
                <c:pt idx="1">
                  <c:v>75783</c:v>
                </c:pt>
                <c:pt idx="2">
                  <c:v>80651</c:v>
                </c:pt>
                <c:pt idx="3">
                  <c:v>96504</c:v>
                </c:pt>
                <c:pt idx="4">
                  <c:v>98965</c:v>
                </c:pt>
                <c:pt idx="5">
                  <c:v>99173</c:v>
                </c:pt>
                <c:pt idx="6">
                  <c:v>92183</c:v>
                </c:pt>
                <c:pt idx="7">
                  <c:v>101165</c:v>
                </c:pt>
                <c:pt idx="8">
                  <c:v>118722</c:v>
                </c:pt>
                <c:pt idx="9">
                  <c:v>135831</c:v>
                </c:pt>
                <c:pt idx="10">
                  <c:v>124365</c:v>
                </c:pt>
                <c:pt idx="11">
                  <c:v>125154</c:v>
                </c:pt>
                <c:pt idx="12">
                  <c:v>104084</c:v>
                </c:pt>
                <c:pt idx="13">
                  <c:v>102821</c:v>
                </c:pt>
                <c:pt idx="14">
                  <c:v>114268</c:v>
                </c:pt>
                <c:pt idx="15">
                  <c:v>126717</c:v>
                </c:pt>
                <c:pt idx="16">
                  <c:v>119206</c:v>
                </c:pt>
                <c:pt idx="17">
                  <c:v>134729</c:v>
                </c:pt>
                <c:pt idx="18">
                  <c:v>123281</c:v>
                </c:pt>
                <c:pt idx="19">
                  <c:v>129259</c:v>
                </c:pt>
                <c:pt idx="20">
                  <c:v>116140</c:v>
                </c:pt>
                <c:pt idx="21">
                  <c:v>146569</c:v>
                </c:pt>
                <c:pt idx="22">
                  <c:v>143509</c:v>
                </c:pt>
                <c:pt idx="23">
                  <c:v>162742</c:v>
                </c:pt>
                <c:pt idx="24">
                  <c:v>118426</c:v>
                </c:pt>
                <c:pt idx="25">
                  <c:v>142707</c:v>
                </c:pt>
                <c:pt idx="26">
                  <c:v>143909</c:v>
                </c:pt>
                <c:pt idx="27">
                  <c:v>140965</c:v>
                </c:pt>
                <c:pt idx="28">
                  <c:v>153330</c:v>
                </c:pt>
                <c:pt idx="29">
                  <c:v>164388</c:v>
                </c:pt>
                <c:pt idx="30">
                  <c:v>142572</c:v>
                </c:pt>
                <c:pt idx="31">
                  <c:v>144927</c:v>
                </c:pt>
                <c:pt idx="32">
                  <c:v>173005</c:v>
                </c:pt>
                <c:pt idx="33">
                  <c:v>191087</c:v>
                </c:pt>
                <c:pt idx="34">
                  <c:v>174049</c:v>
                </c:pt>
                <c:pt idx="35">
                  <c:v>175218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E-4056-9090-56E459361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912639"/>
        <c:axId val="1102903999"/>
      </c:lineChart>
      <c:catAx>
        <c:axId val="110291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Month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02903999"/>
        <c:crosses val="autoZero"/>
        <c:auto val="1"/>
        <c:lblAlgn val="ctr"/>
        <c:lblOffset val="100"/>
        <c:noMultiLvlLbl val="0"/>
      </c:catAx>
      <c:valAx>
        <c:axId val="110290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0291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3-Month</a:t>
            </a:r>
            <a:r>
              <a:rPr lang="en-US" baseline="0"/>
              <a:t> Moving Average</a:t>
            </a:r>
            <a:endParaRPr lang="en-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'Day 24'!$A$6:$A$41</c:f>
              <c:strCache>
                <c:ptCount val="36"/>
                <c:pt idx="0">
                  <c:v>Jan-2023</c:v>
                </c:pt>
                <c:pt idx="1">
                  <c:v>Feb-23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May-2023</c:v>
                </c:pt>
                <c:pt idx="6">
                  <c:v>Jun-2023</c:v>
                </c:pt>
                <c:pt idx="7">
                  <c:v>Jul-2023</c:v>
                </c:pt>
                <c:pt idx="8">
                  <c:v>Aug-2023</c:v>
                </c:pt>
                <c:pt idx="9">
                  <c:v>Sep-2023</c:v>
                </c:pt>
                <c:pt idx="10">
                  <c:v>Oct-2023</c:v>
                </c:pt>
                <c:pt idx="11">
                  <c:v>Nov-2023</c:v>
                </c:pt>
                <c:pt idx="12">
                  <c:v>Dec-2023</c:v>
                </c:pt>
                <c:pt idx="13">
                  <c:v>Jan-2024</c:v>
                </c:pt>
                <c:pt idx="14">
                  <c:v>Feb-2024</c:v>
                </c:pt>
                <c:pt idx="15">
                  <c:v>Mar-2024</c:v>
                </c:pt>
                <c:pt idx="16">
                  <c:v>Apr-2024</c:v>
                </c:pt>
                <c:pt idx="17">
                  <c:v>May-2024</c:v>
                </c:pt>
                <c:pt idx="18">
                  <c:v>Jun-2024</c:v>
                </c:pt>
                <c:pt idx="19">
                  <c:v>Jul-2024</c:v>
                </c:pt>
                <c:pt idx="20">
                  <c:v>Aug-2024</c:v>
                </c:pt>
                <c:pt idx="21">
                  <c:v>Sep-2024</c:v>
                </c:pt>
                <c:pt idx="22">
                  <c:v>Oct-2024</c:v>
                </c:pt>
                <c:pt idx="23">
                  <c:v>Nov-2024</c:v>
                </c:pt>
                <c:pt idx="24">
                  <c:v>Dec-2024</c:v>
                </c:pt>
                <c:pt idx="25">
                  <c:v>Jan-2025</c:v>
                </c:pt>
                <c:pt idx="26">
                  <c:v>Feb-2025</c:v>
                </c:pt>
                <c:pt idx="27">
                  <c:v>Mar-2025</c:v>
                </c:pt>
                <c:pt idx="28">
                  <c:v>Apr-2025</c:v>
                </c:pt>
                <c:pt idx="29">
                  <c:v>May-2025</c:v>
                </c:pt>
                <c:pt idx="30">
                  <c:v>Jun-2025</c:v>
                </c:pt>
                <c:pt idx="31">
                  <c:v>Jul-2025</c:v>
                </c:pt>
                <c:pt idx="32">
                  <c:v>Aug-2025</c:v>
                </c:pt>
                <c:pt idx="33">
                  <c:v>Sep-2025</c:v>
                </c:pt>
                <c:pt idx="34">
                  <c:v>Oct-2025</c:v>
                </c:pt>
                <c:pt idx="35">
                  <c:v>Nov-2025</c:v>
                </c:pt>
              </c:strCache>
            </c:strRef>
          </c:cat>
          <c:val>
            <c:numRef>
              <c:f>'Day 24'!$B$6:$B$41</c:f>
              <c:numCache>
                <c:formatCode>_("$"* #,##0.00_);_("$"* \(#,##0.00\);_("$"* "-"??_);_(@_)</c:formatCode>
                <c:ptCount val="36"/>
                <c:pt idx="0">
                  <c:v>61544</c:v>
                </c:pt>
                <c:pt idx="1">
                  <c:v>75783</c:v>
                </c:pt>
                <c:pt idx="2">
                  <c:v>80651</c:v>
                </c:pt>
                <c:pt idx="3">
                  <c:v>96504</c:v>
                </c:pt>
                <c:pt idx="4">
                  <c:v>98965</c:v>
                </c:pt>
                <c:pt idx="5">
                  <c:v>99173</c:v>
                </c:pt>
                <c:pt idx="6">
                  <c:v>92183</c:v>
                </c:pt>
                <c:pt idx="7">
                  <c:v>101165</c:v>
                </c:pt>
                <c:pt idx="8">
                  <c:v>118722</c:v>
                </c:pt>
                <c:pt idx="9">
                  <c:v>135831</c:v>
                </c:pt>
                <c:pt idx="10">
                  <c:v>124365</c:v>
                </c:pt>
                <c:pt idx="11">
                  <c:v>125154</c:v>
                </c:pt>
                <c:pt idx="12">
                  <c:v>104084</c:v>
                </c:pt>
                <c:pt idx="13">
                  <c:v>102821</c:v>
                </c:pt>
                <c:pt idx="14">
                  <c:v>114268</c:v>
                </c:pt>
                <c:pt idx="15">
                  <c:v>126717</c:v>
                </c:pt>
                <c:pt idx="16">
                  <c:v>119206</c:v>
                </c:pt>
                <c:pt idx="17">
                  <c:v>134729</c:v>
                </c:pt>
                <c:pt idx="18">
                  <c:v>123281</c:v>
                </c:pt>
                <c:pt idx="19">
                  <c:v>129259</c:v>
                </c:pt>
                <c:pt idx="20">
                  <c:v>116140</c:v>
                </c:pt>
                <c:pt idx="21">
                  <c:v>146569</c:v>
                </c:pt>
                <c:pt idx="22">
                  <c:v>143509</c:v>
                </c:pt>
                <c:pt idx="23">
                  <c:v>162742</c:v>
                </c:pt>
                <c:pt idx="24">
                  <c:v>118426</c:v>
                </c:pt>
                <c:pt idx="25">
                  <c:v>142707</c:v>
                </c:pt>
                <c:pt idx="26">
                  <c:v>143909</c:v>
                </c:pt>
                <c:pt idx="27">
                  <c:v>140965</c:v>
                </c:pt>
                <c:pt idx="28">
                  <c:v>153330</c:v>
                </c:pt>
                <c:pt idx="29">
                  <c:v>164388</c:v>
                </c:pt>
                <c:pt idx="30">
                  <c:v>142572</c:v>
                </c:pt>
                <c:pt idx="31">
                  <c:v>144927</c:v>
                </c:pt>
                <c:pt idx="32">
                  <c:v>173005</c:v>
                </c:pt>
                <c:pt idx="33">
                  <c:v>191087</c:v>
                </c:pt>
                <c:pt idx="34">
                  <c:v>174049</c:v>
                </c:pt>
                <c:pt idx="35">
                  <c:v>175218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1-41DA-8B33-42166AF570D1}"/>
            </c:ext>
          </c:extLst>
        </c:ser>
        <c:ser>
          <c:idx val="1"/>
          <c:order val="1"/>
          <c:tx>
            <c:v>3-Month Moving 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'Day 24'!$A$6:$A$41</c:f>
              <c:strCache>
                <c:ptCount val="36"/>
                <c:pt idx="0">
                  <c:v>Jan-2023</c:v>
                </c:pt>
                <c:pt idx="1">
                  <c:v>Feb-23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May-2023</c:v>
                </c:pt>
                <c:pt idx="6">
                  <c:v>Jun-2023</c:v>
                </c:pt>
                <c:pt idx="7">
                  <c:v>Jul-2023</c:v>
                </c:pt>
                <c:pt idx="8">
                  <c:v>Aug-2023</c:v>
                </c:pt>
                <c:pt idx="9">
                  <c:v>Sep-2023</c:v>
                </c:pt>
                <c:pt idx="10">
                  <c:v>Oct-2023</c:v>
                </c:pt>
                <c:pt idx="11">
                  <c:v>Nov-2023</c:v>
                </c:pt>
                <c:pt idx="12">
                  <c:v>Dec-2023</c:v>
                </c:pt>
                <c:pt idx="13">
                  <c:v>Jan-2024</c:v>
                </c:pt>
                <c:pt idx="14">
                  <c:v>Feb-2024</c:v>
                </c:pt>
                <c:pt idx="15">
                  <c:v>Mar-2024</c:v>
                </c:pt>
                <c:pt idx="16">
                  <c:v>Apr-2024</c:v>
                </c:pt>
                <c:pt idx="17">
                  <c:v>May-2024</c:v>
                </c:pt>
                <c:pt idx="18">
                  <c:v>Jun-2024</c:v>
                </c:pt>
                <c:pt idx="19">
                  <c:v>Jul-2024</c:v>
                </c:pt>
                <c:pt idx="20">
                  <c:v>Aug-2024</c:v>
                </c:pt>
                <c:pt idx="21">
                  <c:v>Sep-2024</c:v>
                </c:pt>
                <c:pt idx="22">
                  <c:v>Oct-2024</c:v>
                </c:pt>
                <c:pt idx="23">
                  <c:v>Nov-2024</c:v>
                </c:pt>
                <c:pt idx="24">
                  <c:v>Dec-2024</c:v>
                </c:pt>
                <c:pt idx="25">
                  <c:v>Jan-2025</c:v>
                </c:pt>
                <c:pt idx="26">
                  <c:v>Feb-2025</c:v>
                </c:pt>
                <c:pt idx="27">
                  <c:v>Mar-2025</c:v>
                </c:pt>
                <c:pt idx="28">
                  <c:v>Apr-2025</c:v>
                </c:pt>
                <c:pt idx="29">
                  <c:v>May-2025</c:v>
                </c:pt>
                <c:pt idx="30">
                  <c:v>Jun-2025</c:v>
                </c:pt>
                <c:pt idx="31">
                  <c:v>Jul-2025</c:v>
                </c:pt>
                <c:pt idx="32">
                  <c:v>Aug-2025</c:v>
                </c:pt>
                <c:pt idx="33">
                  <c:v>Sep-2025</c:v>
                </c:pt>
                <c:pt idx="34">
                  <c:v>Oct-2025</c:v>
                </c:pt>
                <c:pt idx="35">
                  <c:v>Nov-2025</c:v>
                </c:pt>
              </c:strCache>
            </c:strRef>
          </c:cat>
          <c:val>
            <c:numRef>
              <c:f>'Day 24'!$H$6:$H$41</c:f>
              <c:numCache>
                <c:formatCode>_("$"* #,##0.00_);_("$"* \(#,##0.00\);_("$"* "-"??_);_(@_)</c:formatCode>
                <c:ptCount val="36"/>
                <c:pt idx="2">
                  <c:v>72659.33</c:v>
                </c:pt>
                <c:pt idx="3">
                  <c:v>84312.67</c:v>
                </c:pt>
                <c:pt idx="4">
                  <c:v>92040</c:v>
                </c:pt>
                <c:pt idx="5">
                  <c:v>98214</c:v>
                </c:pt>
                <c:pt idx="6">
                  <c:v>96773.67</c:v>
                </c:pt>
                <c:pt idx="7">
                  <c:v>97507</c:v>
                </c:pt>
                <c:pt idx="8">
                  <c:v>104023.33</c:v>
                </c:pt>
                <c:pt idx="9">
                  <c:v>118572.67</c:v>
                </c:pt>
                <c:pt idx="10">
                  <c:v>126306</c:v>
                </c:pt>
                <c:pt idx="11">
                  <c:v>128450</c:v>
                </c:pt>
                <c:pt idx="12">
                  <c:v>117867.67</c:v>
                </c:pt>
                <c:pt idx="13">
                  <c:v>110686.33</c:v>
                </c:pt>
                <c:pt idx="14">
                  <c:v>107057.67</c:v>
                </c:pt>
                <c:pt idx="15">
                  <c:v>114602</c:v>
                </c:pt>
                <c:pt idx="16">
                  <c:v>120063.67</c:v>
                </c:pt>
                <c:pt idx="17">
                  <c:v>126884</c:v>
                </c:pt>
                <c:pt idx="18">
                  <c:v>125738.67</c:v>
                </c:pt>
                <c:pt idx="19">
                  <c:v>129089.67</c:v>
                </c:pt>
                <c:pt idx="20">
                  <c:v>122893.33</c:v>
                </c:pt>
                <c:pt idx="21">
                  <c:v>130656</c:v>
                </c:pt>
                <c:pt idx="22">
                  <c:v>135406</c:v>
                </c:pt>
                <c:pt idx="23">
                  <c:v>150940</c:v>
                </c:pt>
                <c:pt idx="24">
                  <c:v>141559</c:v>
                </c:pt>
                <c:pt idx="25">
                  <c:v>141291.67000000001</c:v>
                </c:pt>
                <c:pt idx="26">
                  <c:v>135014</c:v>
                </c:pt>
                <c:pt idx="27">
                  <c:v>142527</c:v>
                </c:pt>
                <c:pt idx="28">
                  <c:v>146068</c:v>
                </c:pt>
                <c:pt idx="29">
                  <c:v>152894.32999999999</c:v>
                </c:pt>
                <c:pt idx="30">
                  <c:v>153430</c:v>
                </c:pt>
                <c:pt idx="31">
                  <c:v>150629</c:v>
                </c:pt>
                <c:pt idx="32">
                  <c:v>153501.32999999999</c:v>
                </c:pt>
                <c:pt idx="33">
                  <c:v>169673</c:v>
                </c:pt>
                <c:pt idx="34">
                  <c:v>179380.33</c:v>
                </c:pt>
                <c:pt idx="35">
                  <c:v>180118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C1-41DA-8B33-42166AF57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819519"/>
        <c:axId val="1102818079"/>
      </c:lineChart>
      <c:catAx>
        <c:axId val="110281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02818079"/>
        <c:crosses val="autoZero"/>
        <c:auto val="1"/>
        <c:lblAlgn val="ctr"/>
        <c:lblOffset val="100"/>
        <c:noMultiLvlLbl val="0"/>
      </c:catAx>
      <c:valAx>
        <c:axId val="11028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Revenue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0281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/>
              <a:t>Revenue vs Advertising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726159230096232E-3"/>
                  <c:y val="-3.28240740740740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'Day 24'!$B$6:$B$41</c:f>
              <c:numCache>
                <c:formatCode>_("$"* #,##0.00_);_("$"* \(#,##0.00\);_("$"* "-"??_);_(@_)</c:formatCode>
                <c:ptCount val="36"/>
                <c:pt idx="0">
                  <c:v>61544</c:v>
                </c:pt>
                <c:pt idx="1">
                  <c:v>75783</c:v>
                </c:pt>
                <c:pt idx="2">
                  <c:v>80651</c:v>
                </c:pt>
                <c:pt idx="3">
                  <c:v>96504</c:v>
                </c:pt>
                <c:pt idx="4">
                  <c:v>98965</c:v>
                </c:pt>
                <c:pt idx="5">
                  <c:v>99173</c:v>
                </c:pt>
                <c:pt idx="6">
                  <c:v>92183</c:v>
                </c:pt>
                <c:pt idx="7">
                  <c:v>101165</c:v>
                </c:pt>
                <c:pt idx="8">
                  <c:v>118722</c:v>
                </c:pt>
                <c:pt idx="9">
                  <c:v>135831</c:v>
                </c:pt>
                <c:pt idx="10">
                  <c:v>124365</c:v>
                </c:pt>
                <c:pt idx="11">
                  <c:v>125154</c:v>
                </c:pt>
                <c:pt idx="12">
                  <c:v>104084</c:v>
                </c:pt>
                <c:pt idx="13">
                  <c:v>102821</c:v>
                </c:pt>
                <c:pt idx="14">
                  <c:v>114268</c:v>
                </c:pt>
                <c:pt idx="15">
                  <c:v>126717</c:v>
                </c:pt>
                <c:pt idx="16">
                  <c:v>119206</c:v>
                </c:pt>
                <c:pt idx="17">
                  <c:v>134729</c:v>
                </c:pt>
                <c:pt idx="18">
                  <c:v>123281</c:v>
                </c:pt>
                <c:pt idx="19">
                  <c:v>129259</c:v>
                </c:pt>
                <c:pt idx="20">
                  <c:v>116140</c:v>
                </c:pt>
                <c:pt idx="21">
                  <c:v>146569</c:v>
                </c:pt>
                <c:pt idx="22">
                  <c:v>143509</c:v>
                </c:pt>
                <c:pt idx="23">
                  <c:v>162742</c:v>
                </c:pt>
                <c:pt idx="24">
                  <c:v>118426</c:v>
                </c:pt>
                <c:pt idx="25">
                  <c:v>142707</c:v>
                </c:pt>
                <c:pt idx="26">
                  <c:v>143909</c:v>
                </c:pt>
                <c:pt idx="27">
                  <c:v>140965</c:v>
                </c:pt>
                <c:pt idx="28">
                  <c:v>153330</c:v>
                </c:pt>
                <c:pt idx="29">
                  <c:v>164388</c:v>
                </c:pt>
                <c:pt idx="30">
                  <c:v>142572</c:v>
                </c:pt>
                <c:pt idx="31">
                  <c:v>144927</c:v>
                </c:pt>
                <c:pt idx="32">
                  <c:v>173005</c:v>
                </c:pt>
                <c:pt idx="33">
                  <c:v>191087</c:v>
                </c:pt>
                <c:pt idx="34">
                  <c:v>174049</c:v>
                </c:pt>
                <c:pt idx="35">
                  <c:v>175218</c:v>
                </c:pt>
              </c:numCache>
            </c:numRef>
          </c:xVal>
          <c:yVal>
            <c:numRef>
              <c:f>'Day 24'!$E$6:$E$41</c:f>
              <c:numCache>
                <c:formatCode>General</c:formatCode>
                <c:ptCount val="36"/>
                <c:pt idx="0">
                  <c:v>11759</c:v>
                </c:pt>
                <c:pt idx="1">
                  <c:v>12958</c:v>
                </c:pt>
                <c:pt idx="2">
                  <c:v>11967</c:v>
                </c:pt>
                <c:pt idx="3">
                  <c:v>11705</c:v>
                </c:pt>
                <c:pt idx="4">
                  <c:v>12102</c:v>
                </c:pt>
                <c:pt idx="5">
                  <c:v>11681</c:v>
                </c:pt>
                <c:pt idx="6">
                  <c:v>12872</c:v>
                </c:pt>
                <c:pt idx="7">
                  <c:v>12797</c:v>
                </c:pt>
                <c:pt idx="8">
                  <c:v>13264</c:v>
                </c:pt>
                <c:pt idx="9">
                  <c:v>15021</c:v>
                </c:pt>
                <c:pt idx="10">
                  <c:v>14570</c:v>
                </c:pt>
                <c:pt idx="11">
                  <c:v>15072</c:v>
                </c:pt>
                <c:pt idx="12">
                  <c:v>15660</c:v>
                </c:pt>
                <c:pt idx="13">
                  <c:v>13686</c:v>
                </c:pt>
                <c:pt idx="14">
                  <c:v>15259</c:v>
                </c:pt>
                <c:pt idx="15">
                  <c:v>17734</c:v>
                </c:pt>
                <c:pt idx="16">
                  <c:v>15809</c:v>
                </c:pt>
                <c:pt idx="17">
                  <c:v>18048</c:v>
                </c:pt>
                <c:pt idx="18">
                  <c:v>16643</c:v>
                </c:pt>
                <c:pt idx="19">
                  <c:v>15775</c:v>
                </c:pt>
                <c:pt idx="20">
                  <c:v>17409</c:v>
                </c:pt>
                <c:pt idx="21">
                  <c:v>16395</c:v>
                </c:pt>
                <c:pt idx="22">
                  <c:v>17847</c:v>
                </c:pt>
                <c:pt idx="23">
                  <c:v>17475</c:v>
                </c:pt>
                <c:pt idx="24">
                  <c:v>17713</c:v>
                </c:pt>
                <c:pt idx="25">
                  <c:v>17895</c:v>
                </c:pt>
                <c:pt idx="26">
                  <c:v>19251</c:v>
                </c:pt>
                <c:pt idx="27">
                  <c:v>18405</c:v>
                </c:pt>
                <c:pt idx="28">
                  <c:v>20011</c:v>
                </c:pt>
                <c:pt idx="29">
                  <c:v>18740</c:v>
                </c:pt>
                <c:pt idx="30">
                  <c:v>20369</c:v>
                </c:pt>
                <c:pt idx="31">
                  <c:v>17687</c:v>
                </c:pt>
                <c:pt idx="32">
                  <c:v>19467</c:v>
                </c:pt>
                <c:pt idx="33">
                  <c:v>21648</c:v>
                </c:pt>
                <c:pt idx="34">
                  <c:v>20592</c:v>
                </c:pt>
                <c:pt idx="35">
                  <c:v>20414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20-4830-BF30-9F98E097C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840159"/>
        <c:axId val="1102848319"/>
      </c:scatterChart>
      <c:valAx>
        <c:axId val="110284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Revenue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02848319"/>
        <c:crosses val="autoZero"/>
        <c:crossBetween val="midCat"/>
      </c:valAx>
      <c:valAx>
        <c:axId val="110284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Advertising Spend $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0284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/>
              <a:t>Website Traffic vs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681539807524061E-2"/>
                  <c:y val="0.10606481481481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'Day 24'!$C$6:$C$41</c:f>
              <c:numCache>
                <c:formatCode>General</c:formatCode>
                <c:ptCount val="36"/>
                <c:pt idx="0">
                  <c:v>654</c:v>
                </c:pt>
                <c:pt idx="1">
                  <c:v>693</c:v>
                </c:pt>
                <c:pt idx="2">
                  <c:v>716</c:v>
                </c:pt>
                <c:pt idx="3">
                  <c:v>1180</c:v>
                </c:pt>
                <c:pt idx="4">
                  <c:v>805</c:v>
                </c:pt>
                <c:pt idx="5">
                  <c:v>912</c:v>
                </c:pt>
                <c:pt idx="6">
                  <c:v>1074</c:v>
                </c:pt>
                <c:pt idx="7">
                  <c:v>728</c:v>
                </c:pt>
                <c:pt idx="8">
                  <c:v>1370</c:v>
                </c:pt>
                <c:pt idx="9">
                  <c:v>1132</c:v>
                </c:pt>
                <c:pt idx="10">
                  <c:v>962</c:v>
                </c:pt>
                <c:pt idx="11">
                  <c:v>1151</c:v>
                </c:pt>
                <c:pt idx="12">
                  <c:v>781</c:v>
                </c:pt>
                <c:pt idx="13">
                  <c:v>890</c:v>
                </c:pt>
                <c:pt idx="14">
                  <c:v>931</c:v>
                </c:pt>
                <c:pt idx="15">
                  <c:v>1199</c:v>
                </c:pt>
                <c:pt idx="16">
                  <c:v>1370</c:v>
                </c:pt>
                <c:pt idx="17">
                  <c:v>1555</c:v>
                </c:pt>
                <c:pt idx="18">
                  <c:v>1486</c:v>
                </c:pt>
                <c:pt idx="19">
                  <c:v>1102</c:v>
                </c:pt>
                <c:pt idx="20">
                  <c:v>1008</c:v>
                </c:pt>
                <c:pt idx="21">
                  <c:v>1712</c:v>
                </c:pt>
                <c:pt idx="22">
                  <c:v>1227</c:v>
                </c:pt>
                <c:pt idx="23">
                  <c:v>1769</c:v>
                </c:pt>
                <c:pt idx="24">
                  <c:v>954</c:v>
                </c:pt>
                <c:pt idx="25">
                  <c:v>1223</c:v>
                </c:pt>
                <c:pt idx="26">
                  <c:v>1563</c:v>
                </c:pt>
                <c:pt idx="27">
                  <c:v>1146</c:v>
                </c:pt>
                <c:pt idx="28">
                  <c:v>1246</c:v>
                </c:pt>
                <c:pt idx="29">
                  <c:v>1235</c:v>
                </c:pt>
                <c:pt idx="30">
                  <c:v>1211</c:v>
                </c:pt>
                <c:pt idx="31">
                  <c:v>1489</c:v>
                </c:pt>
                <c:pt idx="32">
                  <c:v>1415</c:v>
                </c:pt>
                <c:pt idx="33">
                  <c:v>2197</c:v>
                </c:pt>
                <c:pt idx="34">
                  <c:v>1554</c:v>
                </c:pt>
                <c:pt idx="35">
                  <c:v>1505</c:v>
                </c:pt>
              </c:numCache>
            </c:numRef>
          </c:xVal>
          <c:yVal>
            <c:numRef>
              <c:f>'Day 24'!$F$6:$F$41</c:f>
              <c:numCache>
                <c:formatCode>General</c:formatCode>
                <c:ptCount val="36"/>
                <c:pt idx="0">
                  <c:v>26186</c:v>
                </c:pt>
                <c:pt idx="1">
                  <c:v>30621</c:v>
                </c:pt>
                <c:pt idx="2">
                  <c:v>30609</c:v>
                </c:pt>
                <c:pt idx="3">
                  <c:v>36640</c:v>
                </c:pt>
                <c:pt idx="4">
                  <c:v>36806</c:v>
                </c:pt>
                <c:pt idx="5">
                  <c:v>39593</c:v>
                </c:pt>
                <c:pt idx="6">
                  <c:v>37152</c:v>
                </c:pt>
                <c:pt idx="7">
                  <c:v>35118</c:v>
                </c:pt>
                <c:pt idx="8">
                  <c:v>38503</c:v>
                </c:pt>
                <c:pt idx="9">
                  <c:v>51340</c:v>
                </c:pt>
                <c:pt idx="10">
                  <c:v>58989</c:v>
                </c:pt>
                <c:pt idx="11">
                  <c:v>52241</c:v>
                </c:pt>
                <c:pt idx="12">
                  <c:v>37496</c:v>
                </c:pt>
                <c:pt idx="13">
                  <c:v>37291</c:v>
                </c:pt>
                <c:pt idx="14">
                  <c:v>38877</c:v>
                </c:pt>
                <c:pt idx="15">
                  <c:v>45880</c:v>
                </c:pt>
                <c:pt idx="16">
                  <c:v>40761</c:v>
                </c:pt>
                <c:pt idx="17">
                  <c:v>53576</c:v>
                </c:pt>
                <c:pt idx="18">
                  <c:v>44371</c:v>
                </c:pt>
                <c:pt idx="19">
                  <c:v>44841</c:v>
                </c:pt>
                <c:pt idx="20">
                  <c:v>45538</c:v>
                </c:pt>
                <c:pt idx="21">
                  <c:v>63040</c:v>
                </c:pt>
                <c:pt idx="22">
                  <c:v>58514</c:v>
                </c:pt>
                <c:pt idx="23">
                  <c:v>63628</c:v>
                </c:pt>
                <c:pt idx="24">
                  <c:v>44760</c:v>
                </c:pt>
                <c:pt idx="25">
                  <c:v>44514</c:v>
                </c:pt>
                <c:pt idx="26">
                  <c:v>53113</c:v>
                </c:pt>
                <c:pt idx="27">
                  <c:v>56491</c:v>
                </c:pt>
                <c:pt idx="28">
                  <c:v>56483</c:v>
                </c:pt>
                <c:pt idx="29">
                  <c:v>56881</c:v>
                </c:pt>
                <c:pt idx="30">
                  <c:v>48214</c:v>
                </c:pt>
                <c:pt idx="31">
                  <c:v>54041</c:v>
                </c:pt>
                <c:pt idx="32">
                  <c:v>58110</c:v>
                </c:pt>
                <c:pt idx="33">
                  <c:v>69562</c:v>
                </c:pt>
                <c:pt idx="34">
                  <c:v>70937</c:v>
                </c:pt>
                <c:pt idx="35">
                  <c:v>69370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96-40F9-AE0B-2633CF93D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813759"/>
        <c:axId val="1102819039"/>
      </c:scatterChart>
      <c:valAx>
        <c:axId val="110281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Orders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02819039"/>
        <c:crosses val="autoZero"/>
        <c:crossBetween val="midCat"/>
      </c:valAx>
      <c:valAx>
        <c:axId val="110281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Website</a:t>
                </a:r>
                <a:r>
                  <a:rPr lang="en-US" baseline="0"/>
                  <a:t> Traffic Volume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0281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0</xdr:rowOff>
    </xdr:from>
    <xdr:to>
      <xdr:col>3</xdr:col>
      <xdr:colOff>152400</xdr:colOff>
      <xdr:row>60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F8004-D800-47C3-8532-0D938CD35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300990</xdr:colOff>
      <xdr:row>45</xdr:row>
      <xdr:rowOff>7620</xdr:rowOff>
    </xdr:from>
    <xdr:to>
      <xdr:col>6</xdr:col>
      <xdr:colOff>529590</xdr:colOff>
      <xdr:row>60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7DEE89-D469-47DA-9569-885371F9C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73</xdr:row>
      <xdr:rowOff>7620</xdr:rowOff>
    </xdr:from>
    <xdr:to>
      <xdr:col>3</xdr:col>
      <xdr:colOff>807720</xdr:colOff>
      <xdr:row>88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6BCDA5-0B6C-4DFD-A92A-740E11EE3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1116330</xdr:colOff>
      <xdr:row>73</xdr:row>
      <xdr:rowOff>0</xdr:rowOff>
    </xdr:from>
    <xdr:to>
      <xdr:col>7</xdr:col>
      <xdr:colOff>476250</xdr:colOff>
      <xdr:row>88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B06ED7-0A5B-4B6C-940F-B09962FAA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advanced_statistics_days_11_25.xlsx" TargetMode="External"/><Relationship Id="rId1" Type="http://schemas.openxmlformats.org/officeDocument/2006/relationships/externalLinkPath" Target="file:///C:\Users\david\Downloads\advanced_statistics_days_11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Guide &amp; Formulas"/>
      <sheetName val="Day 11"/>
      <sheetName val="Day 12"/>
      <sheetName val="Day 13"/>
      <sheetName val="Day 14"/>
      <sheetName val="Day 15"/>
      <sheetName val="Day 16"/>
      <sheetName val="Day 17"/>
      <sheetName val="Day 18"/>
      <sheetName val="Day 19"/>
      <sheetName val="Day 20"/>
      <sheetName val="Day 21"/>
      <sheetName val="Day 22"/>
      <sheetName val="Day 22 (2)"/>
      <sheetName val="Day 23"/>
      <sheetName val="Day 24"/>
      <sheetName val="Day 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A6" t="str">
            <v>Jan-2023</v>
          </cell>
          <cell r="B6">
            <v>61544</v>
          </cell>
          <cell r="C6">
            <v>654</v>
          </cell>
          <cell r="E6">
            <v>11759</v>
          </cell>
          <cell r="F6">
            <v>26186</v>
          </cell>
        </row>
        <row r="7">
          <cell r="A7">
            <v>44958</v>
          </cell>
          <cell r="B7">
            <v>75783</v>
          </cell>
          <cell r="C7">
            <v>693</v>
          </cell>
          <cell r="E7">
            <v>12958</v>
          </cell>
          <cell r="F7">
            <v>30621</v>
          </cell>
        </row>
        <row r="8">
          <cell r="A8" t="str">
            <v>Mar-2023</v>
          </cell>
          <cell r="B8">
            <v>80651</v>
          </cell>
          <cell r="C8">
            <v>716</v>
          </cell>
          <cell r="E8">
            <v>11967</v>
          </cell>
          <cell r="F8">
            <v>30609</v>
          </cell>
          <cell r="H8">
            <v>72659.33</v>
          </cell>
        </row>
        <row r="9">
          <cell r="A9" t="str">
            <v>Apr-2023</v>
          </cell>
          <cell r="B9">
            <v>96504</v>
          </cell>
          <cell r="C9">
            <v>1180</v>
          </cell>
          <cell r="E9">
            <v>11705</v>
          </cell>
          <cell r="F9">
            <v>36640</v>
          </cell>
          <cell r="H9">
            <v>84312.67</v>
          </cell>
        </row>
        <row r="10">
          <cell r="A10" t="str">
            <v>May-2023</v>
          </cell>
          <cell r="B10">
            <v>98965</v>
          </cell>
          <cell r="C10">
            <v>805</v>
          </cell>
          <cell r="E10">
            <v>12102</v>
          </cell>
          <cell r="F10">
            <v>36806</v>
          </cell>
          <cell r="H10">
            <v>92040</v>
          </cell>
        </row>
        <row r="11">
          <cell r="A11" t="str">
            <v>May-2023</v>
          </cell>
          <cell r="B11">
            <v>99173</v>
          </cell>
          <cell r="C11">
            <v>912</v>
          </cell>
          <cell r="E11">
            <v>11681</v>
          </cell>
          <cell r="F11">
            <v>39593</v>
          </cell>
          <cell r="H11">
            <v>98214</v>
          </cell>
        </row>
        <row r="12">
          <cell r="A12" t="str">
            <v>Jun-2023</v>
          </cell>
          <cell r="B12">
            <v>92183</v>
          </cell>
          <cell r="C12">
            <v>1074</v>
          </cell>
          <cell r="E12">
            <v>12872</v>
          </cell>
          <cell r="F12">
            <v>37152</v>
          </cell>
          <cell r="H12">
            <v>96773.67</v>
          </cell>
        </row>
        <row r="13">
          <cell r="A13" t="str">
            <v>Jul-2023</v>
          </cell>
          <cell r="B13">
            <v>101165</v>
          </cell>
          <cell r="C13">
            <v>728</v>
          </cell>
          <cell r="E13">
            <v>12797</v>
          </cell>
          <cell r="F13">
            <v>35118</v>
          </cell>
          <cell r="H13">
            <v>97507</v>
          </cell>
        </row>
        <row r="14">
          <cell r="A14" t="str">
            <v>Aug-2023</v>
          </cell>
          <cell r="B14">
            <v>118722</v>
          </cell>
          <cell r="C14">
            <v>1370</v>
          </cell>
          <cell r="E14">
            <v>13264</v>
          </cell>
          <cell r="F14">
            <v>38503</v>
          </cell>
          <cell r="H14">
            <v>104023.33</v>
          </cell>
        </row>
        <row r="15">
          <cell r="A15" t="str">
            <v>Sep-2023</v>
          </cell>
          <cell r="B15">
            <v>135831</v>
          </cell>
          <cell r="C15">
            <v>1132</v>
          </cell>
          <cell r="E15">
            <v>15021</v>
          </cell>
          <cell r="F15">
            <v>51340</v>
          </cell>
          <cell r="H15">
            <v>118572.67</v>
          </cell>
        </row>
        <row r="16">
          <cell r="A16" t="str">
            <v>Oct-2023</v>
          </cell>
          <cell r="B16">
            <v>124365</v>
          </cell>
          <cell r="C16">
            <v>962</v>
          </cell>
          <cell r="E16">
            <v>14570</v>
          </cell>
          <cell r="F16">
            <v>58989</v>
          </cell>
          <cell r="H16">
            <v>126306</v>
          </cell>
        </row>
        <row r="17">
          <cell r="A17" t="str">
            <v>Nov-2023</v>
          </cell>
          <cell r="B17">
            <v>125154</v>
          </cell>
          <cell r="C17">
            <v>1151</v>
          </cell>
          <cell r="E17">
            <v>15072</v>
          </cell>
          <cell r="F17">
            <v>52241</v>
          </cell>
          <cell r="H17">
            <v>128450</v>
          </cell>
        </row>
        <row r="18">
          <cell r="A18" t="str">
            <v>Dec-2023</v>
          </cell>
          <cell r="B18">
            <v>104084</v>
          </cell>
          <cell r="C18">
            <v>781</v>
          </cell>
          <cell r="E18">
            <v>15660</v>
          </cell>
          <cell r="F18">
            <v>37496</v>
          </cell>
          <cell r="H18">
            <v>117867.67</v>
          </cell>
        </row>
        <row r="19">
          <cell r="A19" t="str">
            <v>Jan-2024</v>
          </cell>
          <cell r="B19">
            <v>102821</v>
          </cell>
          <cell r="C19">
            <v>890</v>
          </cell>
          <cell r="E19">
            <v>13686</v>
          </cell>
          <cell r="F19">
            <v>37291</v>
          </cell>
          <cell r="H19">
            <v>110686.33</v>
          </cell>
        </row>
        <row r="20">
          <cell r="A20" t="str">
            <v>Feb-2024</v>
          </cell>
          <cell r="B20">
            <v>114268</v>
          </cell>
          <cell r="C20">
            <v>931</v>
          </cell>
          <cell r="E20">
            <v>15259</v>
          </cell>
          <cell r="F20">
            <v>38877</v>
          </cell>
          <cell r="H20">
            <v>107057.67</v>
          </cell>
        </row>
        <row r="21">
          <cell r="A21" t="str">
            <v>Mar-2024</v>
          </cell>
          <cell r="B21">
            <v>126717</v>
          </cell>
          <cell r="C21">
            <v>1199</v>
          </cell>
          <cell r="E21">
            <v>17734</v>
          </cell>
          <cell r="F21">
            <v>45880</v>
          </cell>
          <cell r="H21">
            <v>114602</v>
          </cell>
        </row>
        <row r="22">
          <cell r="A22" t="str">
            <v>Apr-2024</v>
          </cell>
          <cell r="B22">
            <v>119206</v>
          </cell>
          <cell r="C22">
            <v>1370</v>
          </cell>
          <cell r="E22">
            <v>15809</v>
          </cell>
          <cell r="F22">
            <v>40761</v>
          </cell>
          <cell r="H22">
            <v>120063.67</v>
          </cell>
        </row>
        <row r="23">
          <cell r="A23" t="str">
            <v>May-2024</v>
          </cell>
          <cell r="B23">
            <v>134729</v>
          </cell>
          <cell r="C23">
            <v>1555</v>
          </cell>
          <cell r="E23">
            <v>18048</v>
          </cell>
          <cell r="F23">
            <v>53576</v>
          </cell>
          <cell r="H23">
            <v>126884</v>
          </cell>
        </row>
        <row r="24">
          <cell r="A24" t="str">
            <v>Jun-2024</v>
          </cell>
          <cell r="B24">
            <v>123281</v>
          </cell>
          <cell r="C24">
            <v>1486</v>
          </cell>
          <cell r="E24">
            <v>16643</v>
          </cell>
          <cell r="F24">
            <v>44371</v>
          </cell>
          <cell r="H24">
            <v>125738.67</v>
          </cell>
        </row>
        <row r="25">
          <cell r="A25" t="str">
            <v>Jul-2024</v>
          </cell>
          <cell r="B25">
            <v>129259</v>
          </cell>
          <cell r="C25">
            <v>1102</v>
          </cell>
          <cell r="E25">
            <v>15775</v>
          </cell>
          <cell r="F25">
            <v>44841</v>
          </cell>
          <cell r="H25">
            <v>129089.67</v>
          </cell>
        </row>
        <row r="26">
          <cell r="A26" t="str">
            <v>Aug-2024</v>
          </cell>
          <cell r="B26">
            <v>116140</v>
          </cell>
          <cell r="C26">
            <v>1008</v>
          </cell>
          <cell r="E26">
            <v>17409</v>
          </cell>
          <cell r="F26">
            <v>45538</v>
          </cell>
          <cell r="H26">
            <v>122893.33</v>
          </cell>
        </row>
        <row r="27">
          <cell r="A27" t="str">
            <v>Sep-2024</v>
          </cell>
          <cell r="B27">
            <v>146569</v>
          </cell>
          <cell r="C27">
            <v>1712</v>
          </cell>
          <cell r="E27">
            <v>16395</v>
          </cell>
          <cell r="F27">
            <v>63040</v>
          </cell>
          <cell r="H27">
            <v>130656</v>
          </cell>
        </row>
        <row r="28">
          <cell r="A28" t="str">
            <v>Oct-2024</v>
          </cell>
          <cell r="B28">
            <v>143509</v>
          </cell>
          <cell r="C28">
            <v>1227</v>
          </cell>
          <cell r="E28">
            <v>17847</v>
          </cell>
          <cell r="F28">
            <v>58514</v>
          </cell>
          <cell r="H28">
            <v>135406</v>
          </cell>
        </row>
        <row r="29">
          <cell r="A29" t="str">
            <v>Nov-2024</v>
          </cell>
          <cell r="B29">
            <v>162742</v>
          </cell>
          <cell r="C29">
            <v>1769</v>
          </cell>
          <cell r="E29">
            <v>17475</v>
          </cell>
          <cell r="F29">
            <v>63628</v>
          </cell>
          <cell r="H29">
            <v>150940</v>
          </cell>
        </row>
        <row r="30">
          <cell r="A30" t="str">
            <v>Dec-2024</v>
          </cell>
          <cell r="B30">
            <v>118426</v>
          </cell>
          <cell r="C30">
            <v>954</v>
          </cell>
          <cell r="E30">
            <v>17713</v>
          </cell>
          <cell r="F30">
            <v>44760</v>
          </cell>
          <cell r="H30">
            <v>141559</v>
          </cell>
        </row>
        <row r="31">
          <cell r="A31" t="str">
            <v>Jan-2025</v>
          </cell>
          <cell r="B31">
            <v>142707</v>
          </cell>
          <cell r="C31">
            <v>1223</v>
          </cell>
          <cell r="E31">
            <v>17895</v>
          </cell>
          <cell r="F31">
            <v>44514</v>
          </cell>
          <cell r="H31">
            <v>141291.67000000001</v>
          </cell>
        </row>
        <row r="32">
          <cell r="A32" t="str">
            <v>Feb-2025</v>
          </cell>
          <cell r="B32">
            <v>143909</v>
          </cell>
          <cell r="C32">
            <v>1563</v>
          </cell>
          <cell r="E32">
            <v>19251</v>
          </cell>
          <cell r="F32">
            <v>53113</v>
          </cell>
          <cell r="H32">
            <v>135014</v>
          </cell>
        </row>
        <row r="33">
          <cell r="A33" t="str">
            <v>Mar-2025</v>
          </cell>
          <cell r="B33">
            <v>140965</v>
          </cell>
          <cell r="C33">
            <v>1146</v>
          </cell>
          <cell r="E33">
            <v>18405</v>
          </cell>
          <cell r="F33">
            <v>56491</v>
          </cell>
          <cell r="H33">
            <v>142527</v>
          </cell>
        </row>
        <row r="34">
          <cell r="A34" t="str">
            <v>Apr-2025</v>
          </cell>
          <cell r="B34">
            <v>153330</v>
          </cell>
          <cell r="C34">
            <v>1246</v>
          </cell>
          <cell r="E34">
            <v>20011</v>
          </cell>
          <cell r="F34">
            <v>56483</v>
          </cell>
          <cell r="H34">
            <v>146068</v>
          </cell>
        </row>
        <row r="35">
          <cell r="A35" t="str">
            <v>May-2025</v>
          </cell>
          <cell r="B35">
            <v>164388</v>
          </cell>
          <cell r="C35">
            <v>1235</v>
          </cell>
          <cell r="E35">
            <v>18740</v>
          </cell>
          <cell r="F35">
            <v>56881</v>
          </cell>
          <cell r="H35">
            <v>152894.32999999999</v>
          </cell>
        </row>
        <row r="36">
          <cell r="A36" t="str">
            <v>Jun-2025</v>
          </cell>
          <cell r="B36">
            <v>142572</v>
          </cell>
          <cell r="C36">
            <v>1211</v>
          </cell>
          <cell r="E36">
            <v>20369</v>
          </cell>
          <cell r="F36">
            <v>48214</v>
          </cell>
          <cell r="H36">
            <v>153430</v>
          </cell>
        </row>
        <row r="37">
          <cell r="A37" t="str">
            <v>Jul-2025</v>
          </cell>
          <cell r="B37">
            <v>144927</v>
          </cell>
          <cell r="C37">
            <v>1489</v>
          </cell>
          <cell r="E37">
            <v>17687</v>
          </cell>
          <cell r="F37">
            <v>54041</v>
          </cell>
          <cell r="H37">
            <v>150629</v>
          </cell>
        </row>
        <row r="38">
          <cell r="A38" t="str">
            <v>Aug-2025</v>
          </cell>
          <cell r="B38">
            <v>173005</v>
          </cell>
          <cell r="C38">
            <v>1415</v>
          </cell>
          <cell r="E38">
            <v>19467</v>
          </cell>
          <cell r="F38">
            <v>58110</v>
          </cell>
          <cell r="H38">
            <v>153501.32999999999</v>
          </cell>
        </row>
        <row r="39">
          <cell r="A39" t="str">
            <v>Sep-2025</v>
          </cell>
          <cell r="B39">
            <v>191087</v>
          </cell>
          <cell r="C39">
            <v>2197</v>
          </cell>
          <cell r="E39">
            <v>21648</v>
          </cell>
          <cell r="F39">
            <v>69562</v>
          </cell>
          <cell r="H39">
            <v>169673</v>
          </cell>
        </row>
        <row r="40">
          <cell r="A40" t="str">
            <v>Oct-2025</v>
          </cell>
          <cell r="B40">
            <v>174049</v>
          </cell>
          <cell r="C40">
            <v>1554</v>
          </cell>
          <cell r="E40">
            <v>20592</v>
          </cell>
          <cell r="F40">
            <v>70937</v>
          </cell>
          <cell r="H40">
            <v>179380.33</v>
          </cell>
        </row>
        <row r="41">
          <cell r="A41" t="str">
            <v>Nov-2025</v>
          </cell>
          <cell r="B41">
            <v>175218</v>
          </cell>
          <cell r="C41">
            <v>1505</v>
          </cell>
          <cell r="E41">
            <v>20414</v>
          </cell>
          <cell r="F41">
            <v>69370</v>
          </cell>
          <cell r="H41">
            <v>180118</v>
          </cell>
        </row>
      </sheetData>
      <sheetData sheetId="1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advanced_statistics_days_11_25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Omotoye" refreshedDate="46164.316746643519" createdVersion="8" refreshedVersion="8" minRefreshableVersion="3" recordCount="36" xr:uid="{AADAC5F2-115B-4129-AE9D-939866AF79CE}">
  <cacheSource type="worksheet">
    <worksheetSource name="Table15" r:id="rId2"/>
  </cacheSource>
  <cacheFields count="10">
    <cacheField name="Month" numFmtId="0">
      <sharedItems/>
    </cacheField>
    <cacheField name="Revenue" numFmtId="44">
      <sharedItems containsSemiMixedTypes="0" containsString="0" containsNumber="1" containsInteger="1" minValue="61544" maxValue="191087"/>
    </cacheField>
    <cacheField name="Orders" numFmtId="0">
      <sharedItems containsSemiMixedTypes="0" containsString="0" containsNumber="1" containsInteger="1" minValue="654" maxValue="2197"/>
    </cacheField>
    <cacheField name="Average_Order_Value" numFmtId="0">
      <sharedItems containsSemiMixedTypes="0" containsString="0" containsNumber="1" minValue="81.78" maxValue="138.96"/>
    </cacheField>
    <cacheField name="Ad_Spend" numFmtId="0">
      <sharedItems containsSemiMixedTypes="0" containsString="0" containsNumber="1" containsInteger="1" minValue="11681" maxValue="21648"/>
    </cacheField>
    <cacheField name="Website_Traffic" numFmtId="0">
      <sharedItems containsSemiMixedTypes="0" containsString="0" containsNumber="1" containsInteger="1" minValue="26186" maxValue="70937"/>
    </cacheField>
    <cacheField name="Season" numFmtId="0">
      <sharedItems count="4">
        <s v="Q1"/>
        <s v="Q2"/>
        <s v="Q3"/>
        <s v="Q4"/>
      </sharedItems>
    </cacheField>
    <cacheField name="3-Month Moving Average" numFmtId="44">
      <sharedItems containsString="0" containsBlank="1" containsNumber="1" minValue="72659.33" maxValue="180118"/>
    </cacheField>
    <cacheField name="Revenue_Growth_Rate" numFmtId="0">
      <sharedItems containsString="0" containsBlank="1" containsNumber="1" minValue="-0.27230831623059815" maxValue="0.26200275529533323"/>
    </cacheField>
    <cacheField name="Rate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Jan-2023"/>
    <n v="61544"/>
    <n v="654"/>
    <n v="94.1"/>
    <n v="11759"/>
    <n v="26186"/>
    <x v="0"/>
    <m/>
    <m/>
    <m/>
  </r>
  <r>
    <s v="Jan-2023"/>
    <n v="75783"/>
    <n v="693"/>
    <n v="109.35"/>
    <n v="12958"/>
    <n v="30621"/>
    <x v="0"/>
    <m/>
    <n v="0.23136292733653971"/>
    <s v="High Growth"/>
  </r>
  <r>
    <s v="Mar-2023"/>
    <n v="80651"/>
    <n v="716"/>
    <n v="112.64"/>
    <n v="11967"/>
    <n v="30609"/>
    <x v="0"/>
    <n v="72659.33"/>
    <n v="6.4236042384175865E-2"/>
    <s v="Normal Growth"/>
  </r>
  <r>
    <s v="Apr-2023"/>
    <n v="96504"/>
    <n v="1180"/>
    <n v="81.78"/>
    <n v="11705"/>
    <n v="36640"/>
    <x v="1"/>
    <n v="84312.67"/>
    <n v="0.1965629688410559"/>
    <s v="High Growth"/>
  </r>
  <r>
    <s v="May-2023"/>
    <n v="98965"/>
    <n v="805"/>
    <n v="122.94"/>
    <n v="12102"/>
    <n v="36806"/>
    <x v="1"/>
    <n v="92040"/>
    <n v="2.5501533615186936E-2"/>
    <s v="Normal Growth"/>
  </r>
  <r>
    <s v="May-2023"/>
    <n v="99173"/>
    <n v="912"/>
    <n v="108.74"/>
    <n v="11681"/>
    <n v="39593"/>
    <x v="1"/>
    <n v="98214"/>
    <n v="2.1017531450512809E-3"/>
    <s v="Normal Growth"/>
  </r>
  <r>
    <s v="Jun-2023"/>
    <n v="92183"/>
    <n v="1074"/>
    <n v="85.83"/>
    <n v="12872"/>
    <n v="37152"/>
    <x v="2"/>
    <n v="96773.67"/>
    <n v="-7.0482893529488874E-2"/>
    <s v="Revenue Decline"/>
  </r>
  <r>
    <s v="Jul-2023"/>
    <n v="101165"/>
    <n v="728"/>
    <n v="138.96"/>
    <n v="12797"/>
    <n v="35118"/>
    <x v="2"/>
    <n v="97507"/>
    <n v="9.7436620635041174E-2"/>
    <s v="Normal Growth"/>
  </r>
  <r>
    <s v="Aug-2023"/>
    <n v="118722"/>
    <n v="1370"/>
    <n v="86.66"/>
    <n v="13264"/>
    <n v="38503"/>
    <x v="2"/>
    <n v="104023.33"/>
    <n v="0.17354816389067365"/>
    <s v="High Growth"/>
  </r>
  <r>
    <s v="Sep-2023"/>
    <n v="135831"/>
    <n v="1132"/>
    <n v="119.99"/>
    <n v="15021"/>
    <n v="51340"/>
    <x v="3"/>
    <n v="118572.67"/>
    <n v="0.14410976904027897"/>
    <s v="Normal Growth"/>
  </r>
  <r>
    <s v="Oct-2023"/>
    <n v="124365"/>
    <n v="962"/>
    <n v="129.28"/>
    <n v="14570"/>
    <n v="58989"/>
    <x v="3"/>
    <n v="126306"/>
    <n v="-8.4413719990282035E-2"/>
    <s v="Revenue Decline"/>
  </r>
  <r>
    <s v="Nov-2023"/>
    <n v="125154"/>
    <n v="1151"/>
    <n v="108.74"/>
    <n v="15072"/>
    <n v="52241"/>
    <x v="3"/>
    <n v="128450"/>
    <n v="6.3442286817030511E-3"/>
    <s v="Normal Growth"/>
  </r>
  <r>
    <s v="Dec-2023"/>
    <n v="104084"/>
    <n v="781"/>
    <n v="133.27000000000001"/>
    <n v="15660"/>
    <n v="37496"/>
    <x v="0"/>
    <n v="117867.67"/>
    <n v="-0.16835258960960098"/>
    <s v="Severe Decline"/>
  </r>
  <r>
    <s v="Jan-2024"/>
    <n v="102821"/>
    <n v="890"/>
    <n v="115.53"/>
    <n v="13686"/>
    <n v="37291"/>
    <x v="0"/>
    <n v="110686.33"/>
    <n v="-1.213442988355559E-2"/>
    <s v="Revenue Decline"/>
  </r>
  <r>
    <s v="Feb-2024"/>
    <n v="114268"/>
    <n v="931"/>
    <n v="122.74"/>
    <n v="15259"/>
    <n v="38877"/>
    <x v="0"/>
    <n v="107057.67"/>
    <n v="0.11132939769113313"/>
    <s v="Normal Growth"/>
  </r>
  <r>
    <s v="Mar-2024"/>
    <n v="126717"/>
    <n v="1199"/>
    <n v="105.69"/>
    <n v="17734"/>
    <n v="45880"/>
    <x v="1"/>
    <n v="114602"/>
    <n v="0.10894563657366892"/>
    <s v="Normal Growth"/>
  </r>
  <r>
    <s v="Apr-2024"/>
    <n v="119206"/>
    <n v="1370"/>
    <n v="87.01"/>
    <n v="15809"/>
    <n v="40761"/>
    <x v="1"/>
    <n v="120063.67"/>
    <n v="-5.9273814878824466E-2"/>
    <s v="Revenue Decline"/>
  </r>
  <r>
    <s v="May-2024"/>
    <n v="134729"/>
    <n v="1555"/>
    <n v="86.64"/>
    <n v="18048"/>
    <n v="53576"/>
    <x v="1"/>
    <n v="126884"/>
    <n v="0.13021995537137393"/>
    <s v="Normal Growth"/>
  </r>
  <r>
    <s v="Jun-2024"/>
    <n v="123281"/>
    <n v="1486"/>
    <n v="82.96"/>
    <n v="16643"/>
    <n v="44371"/>
    <x v="2"/>
    <n v="125738.67"/>
    <n v="-8.4970570552739197E-2"/>
    <s v="Revenue Decline"/>
  </r>
  <r>
    <s v="Jul-2024"/>
    <n v="129259"/>
    <n v="1102"/>
    <n v="117.29"/>
    <n v="15775"/>
    <n v="44841"/>
    <x v="2"/>
    <n v="129089.67"/>
    <n v="4.8490846115784268E-2"/>
    <s v="Normal Growth"/>
  </r>
  <r>
    <s v="Aug-2024"/>
    <n v="116140"/>
    <n v="1008"/>
    <n v="115.22"/>
    <n v="17409"/>
    <n v="45538"/>
    <x v="2"/>
    <n v="122893.33"/>
    <n v="-0.10149389984449826"/>
    <s v="Severe Decline"/>
  </r>
  <r>
    <s v="Sep-2024"/>
    <n v="146569"/>
    <n v="1712"/>
    <n v="85.61"/>
    <n v="16395"/>
    <n v="63040"/>
    <x v="3"/>
    <n v="130656"/>
    <n v="0.26200275529533323"/>
    <s v="High Growth"/>
  </r>
  <r>
    <s v="Oct-2024"/>
    <n v="143509"/>
    <n v="1227"/>
    <n v="116.96"/>
    <n v="17847"/>
    <n v="58514"/>
    <x v="3"/>
    <n v="135406"/>
    <n v="-2.0877538906590071E-2"/>
    <s v="Revenue Decline"/>
  </r>
  <r>
    <s v="Nov-2024"/>
    <n v="162742"/>
    <n v="1769"/>
    <n v="92"/>
    <n v="17475"/>
    <n v="63628"/>
    <x v="3"/>
    <n v="150940"/>
    <n v="0.13401946916221283"/>
    <s v="Normal Growth"/>
  </r>
  <r>
    <s v="Dec-2024"/>
    <n v="118426"/>
    <n v="954"/>
    <n v="124.14"/>
    <n v="17713"/>
    <n v="44760"/>
    <x v="0"/>
    <n v="141559"/>
    <n v="-0.27230831623059815"/>
    <s v="Severe Decline"/>
  </r>
  <r>
    <s v="Jan-2025"/>
    <n v="142707"/>
    <n v="1223"/>
    <n v="116.69"/>
    <n v="17895"/>
    <n v="44514"/>
    <x v="0"/>
    <n v="141291.67000000001"/>
    <n v="0.20503098981642545"/>
    <s v="High Growth"/>
  </r>
  <r>
    <s v="Feb-2025"/>
    <n v="143909"/>
    <n v="1563"/>
    <n v="92.07"/>
    <n v="19251"/>
    <n v="53113"/>
    <x v="0"/>
    <n v="135014"/>
    <n v="8.422852417891204E-3"/>
    <s v="Normal Growth"/>
  </r>
  <r>
    <s v="Mar-2025"/>
    <n v="140965"/>
    <n v="1146"/>
    <n v="123.01"/>
    <n v="18405"/>
    <n v="56491"/>
    <x v="1"/>
    <n v="142527"/>
    <n v="-2.0457372367259866E-2"/>
    <s v="Revenue Decline"/>
  </r>
  <r>
    <s v="Apr-2025"/>
    <n v="153330"/>
    <n v="1246"/>
    <n v="123.06"/>
    <n v="20011"/>
    <n v="56483"/>
    <x v="1"/>
    <n v="146068"/>
    <n v="8.7716809137019833E-2"/>
    <s v="Normal Growth"/>
  </r>
  <r>
    <s v="May-2025"/>
    <n v="164388"/>
    <n v="1235"/>
    <n v="133.11000000000001"/>
    <n v="18740"/>
    <n v="56881"/>
    <x v="1"/>
    <n v="152894.32999999999"/>
    <n v="7.2118959107806691E-2"/>
    <s v="Normal Growth"/>
  </r>
  <r>
    <s v="Jun-2025"/>
    <n v="142572"/>
    <n v="1211"/>
    <n v="117.73"/>
    <n v="20369"/>
    <n v="48214"/>
    <x v="2"/>
    <n v="153430"/>
    <n v="-0.1327104168187459"/>
    <s v="Severe Decline"/>
  </r>
  <r>
    <s v="Jul-2025"/>
    <n v="144927"/>
    <n v="1489"/>
    <n v="97.33"/>
    <n v="17687"/>
    <n v="54041"/>
    <x v="2"/>
    <n v="150629"/>
    <n v="1.6517969867856242E-2"/>
    <s v="Normal Growth"/>
  </r>
  <r>
    <s v="Aug-2025"/>
    <n v="173005"/>
    <n v="1415"/>
    <n v="122.27"/>
    <n v="19467"/>
    <n v="58110"/>
    <x v="2"/>
    <n v="153501.32999999999"/>
    <n v="0.19373891683399228"/>
    <s v="High Growth"/>
  </r>
  <r>
    <s v="Sep-2025"/>
    <n v="191087"/>
    <n v="2197"/>
    <n v="86.98"/>
    <n v="21648"/>
    <n v="69562"/>
    <x v="3"/>
    <n v="169673"/>
    <n v="0.10451721048524609"/>
    <s v="Normal Growth"/>
  </r>
  <r>
    <s v="Oct-2025"/>
    <n v="174049"/>
    <n v="1554"/>
    <n v="112"/>
    <n v="20592"/>
    <n v="70937"/>
    <x v="3"/>
    <n v="179380.33"/>
    <n v="-8.916357470680894E-2"/>
    <s v="Revenue Decline"/>
  </r>
  <r>
    <s v="Nov-2025"/>
    <n v="175218"/>
    <n v="1505"/>
    <n v="116.42"/>
    <n v="20414"/>
    <n v="69370"/>
    <x v="3"/>
    <n v="180118"/>
    <n v="6.7164993766123332E-3"/>
    <s v="Normal Growt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8BAE1-CB5C-4E6B-8DC6-63807C0117A0}" name="PivotTable1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C69" firstHeaderRow="0" firstDataRow="1" firstDataCol="1"/>
  <pivotFields count="10">
    <pivotField showAll="0"/>
    <pivotField dataField="1" numFmtId="44" showAll="0"/>
    <pivotField dataField="1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venue" fld="1" subtotal="average" baseField="6" baseItem="0" numFmtId="44"/>
    <dataField name="Average of Orders" fld="2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2D8BF4-7980-4073-9FF5-A3CA5B7D353E}" name="Table15" displayName="Table15" ref="A5:J41" totalsRowShown="0" headerRowDxfId="11" dataDxfId="10">
  <autoFilter ref="A5:J41" xr:uid="{5C425CC1-2592-45A9-B378-359188D3F1C5}"/>
  <sortState xmlns:xlrd2="http://schemas.microsoft.com/office/spreadsheetml/2017/richdata2" ref="A6:G41">
    <sortCondition ref="A6:A41"/>
  </sortState>
  <tableColumns count="10">
    <tableColumn id="1" xr3:uid="{4EEEAF0B-6D99-4240-ACE6-4F71B69D9AE7}" name="Month" dataDxfId="9"/>
    <tableColumn id="2" xr3:uid="{DB3B364C-5C38-453B-AE8D-9A0DA2F3564C}" name="Revenue" dataDxfId="8"/>
    <tableColumn id="3" xr3:uid="{3724AC4B-DFB1-47F5-B978-B630ADA93941}" name="Orders" dataDxfId="7"/>
    <tableColumn id="4" xr3:uid="{CBD0F786-128C-4B02-9E4F-E9CD3CD28D8A}" name="Average_Order_Value" dataDxfId="6"/>
    <tableColumn id="5" xr3:uid="{F1C7556B-0B22-48C5-97F2-3DB4EE3CAE8D}" name="Ad_Spend" dataDxfId="5"/>
    <tableColumn id="6" xr3:uid="{6189CC00-0823-4CBF-9C65-F4728CEAF01A}" name="Website_Traffic" dataDxfId="4"/>
    <tableColumn id="7" xr3:uid="{6674FC92-BE0E-4608-BDC2-4003538B3E46}" name="Season" dataDxfId="3"/>
    <tableColumn id="8" xr3:uid="{F92823C6-C521-4323-94B5-50EC456ED0EC}" name="3-Month Moving Average" dataDxfId="2" dataCellStyle="Comma"/>
    <tableColumn id="9" xr3:uid="{16A6D150-5BF9-4F66-8231-92BD831F8A29}" name="Revenue_Growth_Rate" dataDxfId="1">
      <calculatedColumnFormula>(B6-B5)/B5</calculatedColumnFormula>
    </tableColumn>
    <tableColumn id="10" xr3:uid="{53C68F10-B7CB-4919-87E8-5D6E45078067}" name="Growth_Performance_Flag" dataDxfId="0">
      <calculatedColumnFormula>IF(I6&lt;-10%,"Severe Decline",IF(I6&lt;0,"Revenue Decline",IF(I6&gt;15%,"High Growth","Normal Growth")))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D5DC-CF6B-436C-BAA3-93DB97568E26}">
  <dimension ref="A1:J94"/>
  <sheetViews>
    <sheetView tabSelected="1" topLeftCell="A51" workbookViewId="0">
      <selection activeCell="A17" sqref="A17"/>
    </sheetView>
  </sheetViews>
  <sheetFormatPr defaultRowHeight="13.8"/>
  <cols>
    <col min="1" max="1" width="13.09765625" bestFit="1" customWidth="1"/>
    <col min="2" max="2" width="19.09765625" bestFit="1" customWidth="1"/>
    <col min="3" max="3" width="17.19921875" bestFit="1" customWidth="1"/>
    <col min="4" max="4" width="24.5" bestFit="1" customWidth="1"/>
    <col min="5" max="5" width="13.8984375" bestFit="1" customWidth="1"/>
    <col min="6" max="6" width="18.59765625" bestFit="1" customWidth="1"/>
    <col min="7" max="7" width="11.3984375" bestFit="1" customWidth="1"/>
    <col min="8" max="8" width="28.19921875" style="3" bestFit="1" customWidth="1"/>
    <col min="9" max="9" width="25.5" bestFit="1" customWidth="1"/>
    <col min="10" max="10" width="28.59765625" bestFit="1" customWidth="1"/>
  </cols>
  <sheetData>
    <row r="1" spans="1:10" ht="17.399999999999999">
      <c r="A1" s="1" t="s">
        <v>0</v>
      </c>
      <c r="B1" s="2"/>
      <c r="C1" s="2"/>
      <c r="D1" s="2"/>
      <c r="E1" s="2"/>
      <c r="F1" s="2"/>
      <c r="G1" s="2"/>
    </row>
    <row r="2" spans="1:10" ht="69">
      <c r="A2" s="4" t="s">
        <v>1</v>
      </c>
      <c r="B2" s="4" t="s">
        <v>2</v>
      </c>
      <c r="C2" s="5"/>
      <c r="D2" s="5"/>
      <c r="E2" s="5"/>
      <c r="F2" s="5"/>
      <c r="G2" s="5"/>
    </row>
    <row r="3" spans="1:10" ht="69">
      <c r="A3" s="4" t="s">
        <v>3</v>
      </c>
      <c r="B3" s="4" t="s">
        <v>4</v>
      </c>
      <c r="C3" s="5"/>
      <c r="D3" s="5"/>
      <c r="E3" s="5"/>
      <c r="F3" s="5"/>
      <c r="G3" s="5"/>
    </row>
    <row r="4" spans="1:10">
      <c r="A4" s="6"/>
      <c r="B4" s="6"/>
      <c r="C4" s="5"/>
      <c r="D4" s="5"/>
      <c r="E4" s="5"/>
      <c r="F4" s="5"/>
      <c r="G4" s="5"/>
    </row>
    <row r="5" spans="1:10">
      <c r="A5" s="7" t="s">
        <v>5</v>
      </c>
      <c r="B5" s="8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9" t="s">
        <v>12</v>
      </c>
      <c r="I5" s="10" t="s">
        <v>13</v>
      </c>
      <c r="J5" s="10" t="s">
        <v>14</v>
      </c>
    </row>
    <row r="6" spans="1:10">
      <c r="A6" s="5" t="s">
        <v>15</v>
      </c>
      <c r="B6" s="11">
        <v>61544</v>
      </c>
      <c r="C6" s="5">
        <v>654</v>
      </c>
      <c r="D6" s="5">
        <v>94.1</v>
      </c>
      <c r="E6" s="5">
        <v>11759</v>
      </c>
      <c r="F6" s="5">
        <v>26186</v>
      </c>
      <c r="G6" s="5" t="s">
        <v>16</v>
      </c>
      <c r="H6" s="12"/>
      <c r="I6" s="5"/>
      <c r="J6" s="5"/>
    </row>
    <row r="7" spans="1:10">
      <c r="A7" s="13">
        <v>44958</v>
      </c>
      <c r="B7" s="11">
        <v>75783</v>
      </c>
      <c r="C7" s="5">
        <v>693</v>
      </c>
      <c r="D7" s="5">
        <v>109.35</v>
      </c>
      <c r="E7" s="5">
        <v>12958</v>
      </c>
      <c r="F7" s="5">
        <v>30621</v>
      </c>
      <c r="G7" s="5" t="s">
        <v>16</v>
      </c>
      <c r="H7" s="12"/>
      <c r="I7" s="14">
        <f t="shared" ref="I7:I41" si="0">(B7-B6)/B6</f>
        <v>0.23136292733653971</v>
      </c>
      <c r="J7" s="5" t="str">
        <f t="shared" ref="J7:J41" si="1">IF(I7&lt;-10%,"Severe Decline",IF(I7&lt;0,"Revenue Decline",IF(I7&gt;15%,"High Growth","Normal Growth")))</f>
        <v>High Growth</v>
      </c>
    </row>
    <row r="8" spans="1:10">
      <c r="A8" s="5" t="s">
        <v>17</v>
      </c>
      <c r="B8" s="11">
        <v>80651</v>
      </c>
      <c r="C8" s="5">
        <v>716</v>
      </c>
      <c r="D8" s="5">
        <v>112.64</v>
      </c>
      <c r="E8" s="5">
        <v>11967</v>
      </c>
      <c r="F8" s="5">
        <v>30609</v>
      </c>
      <c r="G8" s="5" t="s">
        <v>16</v>
      </c>
      <c r="H8" s="12">
        <f>ROUND(AVERAGE(B6:B8),2)</f>
        <v>72659.33</v>
      </c>
      <c r="I8" s="14">
        <f t="shared" si="0"/>
        <v>6.4236042384175865E-2</v>
      </c>
      <c r="J8" s="5" t="str">
        <f t="shared" si="1"/>
        <v>Normal Growth</v>
      </c>
    </row>
    <row r="9" spans="1:10">
      <c r="A9" s="5" t="s">
        <v>18</v>
      </c>
      <c r="B9" s="11">
        <v>96504</v>
      </c>
      <c r="C9" s="5">
        <v>1180</v>
      </c>
      <c r="D9" s="5">
        <v>81.78</v>
      </c>
      <c r="E9" s="5">
        <v>11705</v>
      </c>
      <c r="F9" s="5">
        <v>36640</v>
      </c>
      <c r="G9" s="5" t="s">
        <v>19</v>
      </c>
      <c r="H9" s="12">
        <f t="shared" ref="H9:H41" si="2">ROUND(AVERAGE(B7:B9),2)</f>
        <v>84312.67</v>
      </c>
      <c r="I9" s="14">
        <f t="shared" si="0"/>
        <v>0.1965629688410559</v>
      </c>
      <c r="J9" s="5" t="str">
        <f t="shared" si="1"/>
        <v>High Growth</v>
      </c>
    </row>
    <row r="10" spans="1:10">
      <c r="A10" s="5" t="s">
        <v>20</v>
      </c>
      <c r="B10" s="11">
        <v>98965</v>
      </c>
      <c r="C10" s="5">
        <v>805</v>
      </c>
      <c r="D10" s="5">
        <v>122.94</v>
      </c>
      <c r="E10" s="5">
        <v>12102</v>
      </c>
      <c r="F10" s="5">
        <v>36806</v>
      </c>
      <c r="G10" s="5" t="s">
        <v>19</v>
      </c>
      <c r="H10" s="12">
        <f t="shared" si="2"/>
        <v>92040</v>
      </c>
      <c r="I10" s="14">
        <f t="shared" si="0"/>
        <v>2.5501533615186936E-2</v>
      </c>
      <c r="J10" s="5" t="str">
        <f t="shared" si="1"/>
        <v>Normal Growth</v>
      </c>
    </row>
    <row r="11" spans="1:10">
      <c r="A11" s="5" t="s">
        <v>20</v>
      </c>
      <c r="B11" s="11">
        <v>99173</v>
      </c>
      <c r="C11" s="5">
        <v>912</v>
      </c>
      <c r="D11" s="5">
        <v>108.74</v>
      </c>
      <c r="E11" s="5">
        <v>11681</v>
      </c>
      <c r="F11" s="5">
        <v>39593</v>
      </c>
      <c r="G11" s="5" t="s">
        <v>19</v>
      </c>
      <c r="H11" s="12">
        <f t="shared" si="2"/>
        <v>98214</v>
      </c>
      <c r="I11" s="14">
        <f t="shared" si="0"/>
        <v>2.1017531450512809E-3</v>
      </c>
      <c r="J11" s="5" t="str">
        <f t="shared" si="1"/>
        <v>Normal Growth</v>
      </c>
    </row>
    <row r="12" spans="1:10">
      <c r="A12" s="5" t="s">
        <v>21</v>
      </c>
      <c r="B12" s="11">
        <v>92183</v>
      </c>
      <c r="C12" s="5">
        <v>1074</v>
      </c>
      <c r="D12" s="5">
        <v>85.83</v>
      </c>
      <c r="E12" s="5">
        <v>12872</v>
      </c>
      <c r="F12" s="5">
        <v>37152</v>
      </c>
      <c r="G12" s="5" t="s">
        <v>22</v>
      </c>
      <c r="H12" s="12">
        <f t="shared" si="2"/>
        <v>96773.67</v>
      </c>
      <c r="I12" s="14">
        <f t="shared" si="0"/>
        <v>-7.0482893529488874E-2</v>
      </c>
      <c r="J12" s="5" t="str">
        <f t="shared" si="1"/>
        <v>Revenue Decline</v>
      </c>
    </row>
    <row r="13" spans="1:10">
      <c r="A13" s="5" t="s">
        <v>23</v>
      </c>
      <c r="B13" s="11">
        <v>101165</v>
      </c>
      <c r="C13" s="5">
        <v>728</v>
      </c>
      <c r="D13" s="5">
        <v>138.96</v>
      </c>
      <c r="E13" s="5">
        <v>12797</v>
      </c>
      <c r="F13" s="5">
        <v>35118</v>
      </c>
      <c r="G13" s="5" t="s">
        <v>22</v>
      </c>
      <c r="H13" s="12">
        <f t="shared" si="2"/>
        <v>97507</v>
      </c>
      <c r="I13" s="14">
        <f t="shared" si="0"/>
        <v>9.7436620635041174E-2</v>
      </c>
      <c r="J13" s="5" t="str">
        <f t="shared" si="1"/>
        <v>Normal Growth</v>
      </c>
    </row>
    <row r="14" spans="1:10">
      <c r="A14" s="5" t="s">
        <v>24</v>
      </c>
      <c r="B14" s="11">
        <v>118722</v>
      </c>
      <c r="C14" s="5">
        <v>1370</v>
      </c>
      <c r="D14" s="5">
        <v>86.66</v>
      </c>
      <c r="E14" s="5">
        <v>13264</v>
      </c>
      <c r="F14" s="5">
        <v>38503</v>
      </c>
      <c r="G14" s="5" t="s">
        <v>22</v>
      </c>
      <c r="H14" s="12">
        <f t="shared" si="2"/>
        <v>104023.33</v>
      </c>
      <c r="I14" s="14">
        <f t="shared" si="0"/>
        <v>0.17354816389067365</v>
      </c>
      <c r="J14" s="5" t="str">
        <f t="shared" si="1"/>
        <v>High Growth</v>
      </c>
    </row>
    <row r="15" spans="1:10">
      <c r="A15" s="5" t="s">
        <v>25</v>
      </c>
      <c r="B15" s="11">
        <v>135831</v>
      </c>
      <c r="C15" s="5">
        <v>1132</v>
      </c>
      <c r="D15" s="5">
        <v>119.99</v>
      </c>
      <c r="E15" s="5">
        <v>15021</v>
      </c>
      <c r="F15" s="5">
        <v>51340</v>
      </c>
      <c r="G15" s="5" t="s">
        <v>26</v>
      </c>
      <c r="H15" s="12">
        <f t="shared" si="2"/>
        <v>118572.67</v>
      </c>
      <c r="I15" s="14">
        <f t="shared" si="0"/>
        <v>0.14410976904027897</v>
      </c>
      <c r="J15" s="5" t="str">
        <f t="shared" si="1"/>
        <v>Normal Growth</v>
      </c>
    </row>
    <row r="16" spans="1:10">
      <c r="A16" s="5" t="s">
        <v>27</v>
      </c>
      <c r="B16" s="11">
        <v>124365</v>
      </c>
      <c r="C16" s="5">
        <v>962</v>
      </c>
      <c r="D16" s="5">
        <v>129.28</v>
      </c>
      <c r="E16" s="5">
        <v>14570</v>
      </c>
      <c r="F16" s="5">
        <v>58989</v>
      </c>
      <c r="G16" s="5" t="s">
        <v>26</v>
      </c>
      <c r="H16" s="12">
        <f t="shared" si="2"/>
        <v>126306</v>
      </c>
      <c r="I16" s="14">
        <f t="shared" si="0"/>
        <v>-8.4413719990282035E-2</v>
      </c>
      <c r="J16" s="5" t="str">
        <f t="shared" si="1"/>
        <v>Revenue Decline</v>
      </c>
    </row>
    <row r="17" spans="1:10">
      <c r="A17" s="5" t="s">
        <v>28</v>
      </c>
      <c r="B17" s="11">
        <v>125154</v>
      </c>
      <c r="C17" s="5">
        <v>1151</v>
      </c>
      <c r="D17" s="5">
        <v>108.74</v>
      </c>
      <c r="E17" s="5">
        <v>15072</v>
      </c>
      <c r="F17" s="5">
        <v>52241</v>
      </c>
      <c r="G17" s="5" t="s">
        <v>26</v>
      </c>
      <c r="H17" s="12">
        <f t="shared" si="2"/>
        <v>128450</v>
      </c>
      <c r="I17" s="14">
        <f t="shared" si="0"/>
        <v>6.3442286817030511E-3</v>
      </c>
      <c r="J17" s="5" t="str">
        <f t="shared" si="1"/>
        <v>Normal Growth</v>
      </c>
    </row>
    <row r="18" spans="1:10">
      <c r="A18" s="5" t="s">
        <v>29</v>
      </c>
      <c r="B18" s="11">
        <v>104084</v>
      </c>
      <c r="C18" s="5">
        <v>781</v>
      </c>
      <c r="D18" s="5">
        <v>133.27000000000001</v>
      </c>
      <c r="E18" s="5">
        <v>15660</v>
      </c>
      <c r="F18" s="5">
        <v>37496</v>
      </c>
      <c r="G18" s="5" t="s">
        <v>16</v>
      </c>
      <c r="H18" s="12">
        <f t="shared" si="2"/>
        <v>117867.67</v>
      </c>
      <c r="I18" s="14">
        <f t="shared" si="0"/>
        <v>-0.16835258960960098</v>
      </c>
      <c r="J18" s="5" t="str">
        <f t="shared" si="1"/>
        <v>Severe Decline</v>
      </c>
    </row>
    <row r="19" spans="1:10">
      <c r="A19" s="5" t="s">
        <v>30</v>
      </c>
      <c r="B19" s="11">
        <v>102821</v>
      </c>
      <c r="C19" s="5">
        <v>890</v>
      </c>
      <c r="D19" s="5">
        <v>115.53</v>
      </c>
      <c r="E19" s="5">
        <v>13686</v>
      </c>
      <c r="F19" s="5">
        <v>37291</v>
      </c>
      <c r="G19" s="5" t="s">
        <v>16</v>
      </c>
      <c r="H19" s="12">
        <f t="shared" si="2"/>
        <v>110686.33</v>
      </c>
      <c r="I19" s="14">
        <f t="shared" si="0"/>
        <v>-1.213442988355559E-2</v>
      </c>
      <c r="J19" s="5" t="str">
        <f t="shared" si="1"/>
        <v>Revenue Decline</v>
      </c>
    </row>
    <row r="20" spans="1:10">
      <c r="A20" s="5" t="s">
        <v>31</v>
      </c>
      <c r="B20" s="11">
        <v>114268</v>
      </c>
      <c r="C20" s="5">
        <v>931</v>
      </c>
      <c r="D20" s="5">
        <v>122.74</v>
      </c>
      <c r="E20" s="5">
        <v>15259</v>
      </c>
      <c r="F20" s="5">
        <v>38877</v>
      </c>
      <c r="G20" s="5" t="s">
        <v>16</v>
      </c>
      <c r="H20" s="12">
        <f t="shared" si="2"/>
        <v>107057.67</v>
      </c>
      <c r="I20" s="14">
        <f t="shared" si="0"/>
        <v>0.11132939769113313</v>
      </c>
      <c r="J20" s="5" t="str">
        <f t="shared" si="1"/>
        <v>Normal Growth</v>
      </c>
    </row>
    <row r="21" spans="1:10">
      <c r="A21" s="5" t="s">
        <v>32</v>
      </c>
      <c r="B21" s="11">
        <v>126717</v>
      </c>
      <c r="C21" s="5">
        <v>1199</v>
      </c>
      <c r="D21" s="5">
        <v>105.69</v>
      </c>
      <c r="E21" s="5">
        <v>17734</v>
      </c>
      <c r="F21" s="5">
        <v>45880</v>
      </c>
      <c r="G21" s="5" t="s">
        <v>19</v>
      </c>
      <c r="H21" s="12">
        <f t="shared" si="2"/>
        <v>114602</v>
      </c>
      <c r="I21" s="14">
        <f t="shared" si="0"/>
        <v>0.10894563657366892</v>
      </c>
      <c r="J21" s="5" t="str">
        <f t="shared" si="1"/>
        <v>Normal Growth</v>
      </c>
    </row>
    <row r="22" spans="1:10">
      <c r="A22" s="5" t="s">
        <v>33</v>
      </c>
      <c r="B22" s="11">
        <v>119206</v>
      </c>
      <c r="C22" s="5">
        <v>1370</v>
      </c>
      <c r="D22" s="5">
        <v>87.01</v>
      </c>
      <c r="E22" s="5">
        <v>15809</v>
      </c>
      <c r="F22" s="5">
        <v>40761</v>
      </c>
      <c r="G22" s="5" t="s">
        <v>19</v>
      </c>
      <c r="H22" s="12">
        <f t="shared" si="2"/>
        <v>120063.67</v>
      </c>
      <c r="I22" s="14">
        <f t="shared" si="0"/>
        <v>-5.9273814878824466E-2</v>
      </c>
      <c r="J22" s="5" t="str">
        <f t="shared" si="1"/>
        <v>Revenue Decline</v>
      </c>
    </row>
    <row r="23" spans="1:10">
      <c r="A23" s="5" t="s">
        <v>34</v>
      </c>
      <c r="B23" s="11">
        <v>134729</v>
      </c>
      <c r="C23" s="5">
        <v>1555</v>
      </c>
      <c r="D23" s="5">
        <v>86.64</v>
      </c>
      <c r="E23" s="5">
        <v>18048</v>
      </c>
      <c r="F23" s="5">
        <v>53576</v>
      </c>
      <c r="G23" s="5" t="s">
        <v>19</v>
      </c>
      <c r="H23" s="12">
        <f t="shared" si="2"/>
        <v>126884</v>
      </c>
      <c r="I23" s="14">
        <f t="shared" si="0"/>
        <v>0.13021995537137393</v>
      </c>
      <c r="J23" s="5" t="str">
        <f t="shared" si="1"/>
        <v>Normal Growth</v>
      </c>
    </row>
    <row r="24" spans="1:10">
      <c r="A24" s="5" t="s">
        <v>35</v>
      </c>
      <c r="B24" s="11">
        <v>123281</v>
      </c>
      <c r="C24" s="5">
        <v>1486</v>
      </c>
      <c r="D24" s="5">
        <v>82.96</v>
      </c>
      <c r="E24" s="5">
        <v>16643</v>
      </c>
      <c r="F24" s="5">
        <v>44371</v>
      </c>
      <c r="G24" s="5" t="s">
        <v>22</v>
      </c>
      <c r="H24" s="12">
        <f t="shared" si="2"/>
        <v>125738.67</v>
      </c>
      <c r="I24" s="14">
        <f t="shared" si="0"/>
        <v>-8.4970570552739197E-2</v>
      </c>
      <c r="J24" s="5" t="str">
        <f t="shared" si="1"/>
        <v>Revenue Decline</v>
      </c>
    </row>
    <row r="25" spans="1:10">
      <c r="A25" s="5" t="s">
        <v>36</v>
      </c>
      <c r="B25" s="11">
        <v>129259</v>
      </c>
      <c r="C25" s="5">
        <v>1102</v>
      </c>
      <c r="D25" s="5">
        <v>117.29</v>
      </c>
      <c r="E25" s="5">
        <v>15775</v>
      </c>
      <c r="F25" s="5">
        <v>44841</v>
      </c>
      <c r="G25" s="5" t="s">
        <v>22</v>
      </c>
      <c r="H25" s="12">
        <f t="shared" si="2"/>
        <v>129089.67</v>
      </c>
      <c r="I25" s="14">
        <f t="shared" si="0"/>
        <v>4.8490846115784268E-2</v>
      </c>
      <c r="J25" s="5" t="str">
        <f t="shared" si="1"/>
        <v>Normal Growth</v>
      </c>
    </row>
    <row r="26" spans="1:10">
      <c r="A26" s="5" t="s">
        <v>37</v>
      </c>
      <c r="B26" s="11">
        <v>116140</v>
      </c>
      <c r="C26" s="5">
        <v>1008</v>
      </c>
      <c r="D26" s="5">
        <v>115.22</v>
      </c>
      <c r="E26" s="5">
        <v>17409</v>
      </c>
      <c r="F26" s="5">
        <v>45538</v>
      </c>
      <c r="G26" s="5" t="s">
        <v>22</v>
      </c>
      <c r="H26" s="12">
        <f t="shared" si="2"/>
        <v>122893.33</v>
      </c>
      <c r="I26" s="14">
        <f t="shared" si="0"/>
        <v>-0.10149389984449826</v>
      </c>
      <c r="J26" s="5" t="str">
        <f t="shared" si="1"/>
        <v>Severe Decline</v>
      </c>
    </row>
    <row r="27" spans="1:10">
      <c r="A27" s="5" t="s">
        <v>38</v>
      </c>
      <c r="B27" s="11">
        <v>146569</v>
      </c>
      <c r="C27" s="5">
        <v>1712</v>
      </c>
      <c r="D27" s="5">
        <v>85.61</v>
      </c>
      <c r="E27" s="5">
        <v>16395</v>
      </c>
      <c r="F27" s="5">
        <v>63040</v>
      </c>
      <c r="G27" s="5" t="s">
        <v>26</v>
      </c>
      <c r="H27" s="12">
        <f t="shared" si="2"/>
        <v>130656</v>
      </c>
      <c r="I27" s="14">
        <f t="shared" si="0"/>
        <v>0.26200275529533323</v>
      </c>
      <c r="J27" s="5" t="str">
        <f t="shared" si="1"/>
        <v>High Growth</v>
      </c>
    </row>
    <row r="28" spans="1:10">
      <c r="A28" s="5" t="s">
        <v>39</v>
      </c>
      <c r="B28" s="11">
        <v>143509</v>
      </c>
      <c r="C28" s="5">
        <v>1227</v>
      </c>
      <c r="D28" s="5">
        <v>116.96</v>
      </c>
      <c r="E28" s="5">
        <v>17847</v>
      </c>
      <c r="F28" s="5">
        <v>58514</v>
      </c>
      <c r="G28" s="5" t="s">
        <v>26</v>
      </c>
      <c r="H28" s="12">
        <f t="shared" si="2"/>
        <v>135406</v>
      </c>
      <c r="I28" s="14">
        <f t="shared" si="0"/>
        <v>-2.0877538906590071E-2</v>
      </c>
      <c r="J28" s="5" t="str">
        <f t="shared" si="1"/>
        <v>Revenue Decline</v>
      </c>
    </row>
    <row r="29" spans="1:10">
      <c r="A29" s="5" t="s">
        <v>40</v>
      </c>
      <c r="B29" s="11">
        <v>162742</v>
      </c>
      <c r="C29" s="5">
        <v>1769</v>
      </c>
      <c r="D29" s="5">
        <v>92</v>
      </c>
      <c r="E29" s="5">
        <v>17475</v>
      </c>
      <c r="F29" s="5">
        <v>63628</v>
      </c>
      <c r="G29" s="5" t="s">
        <v>26</v>
      </c>
      <c r="H29" s="12">
        <f t="shared" si="2"/>
        <v>150940</v>
      </c>
      <c r="I29" s="14">
        <f t="shared" si="0"/>
        <v>0.13401946916221283</v>
      </c>
      <c r="J29" s="5" t="str">
        <f t="shared" si="1"/>
        <v>Normal Growth</v>
      </c>
    </row>
    <row r="30" spans="1:10">
      <c r="A30" s="5" t="s">
        <v>41</v>
      </c>
      <c r="B30" s="11">
        <v>118426</v>
      </c>
      <c r="C30" s="5">
        <v>954</v>
      </c>
      <c r="D30" s="5">
        <v>124.14</v>
      </c>
      <c r="E30" s="5">
        <v>17713</v>
      </c>
      <c r="F30" s="5">
        <v>44760</v>
      </c>
      <c r="G30" s="5" t="s">
        <v>16</v>
      </c>
      <c r="H30" s="12">
        <f t="shared" si="2"/>
        <v>141559</v>
      </c>
      <c r="I30" s="14">
        <f t="shared" si="0"/>
        <v>-0.27230831623059815</v>
      </c>
      <c r="J30" s="5" t="str">
        <f t="shared" si="1"/>
        <v>Severe Decline</v>
      </c>
    </row>
    <row r="31" spans="1:10">
      <c r="A31" s="5" t="s">
        <v>42</v>
      </c>
      <c r="B31" s="11">
        <v>142707</v>
      </c>
      <c r="C31" s="5">
        <v>1223</v>
      </c>
      <c r="D31" s="5">
        <v>116.69</v>
      </c>
      <c r="E31" s="5">
        <v>17895</v>
      </c>
      <c r="F31" s="5">
        <v>44514</v>
      </c>
      <c r="G31" s="5" t="s">
        <v>16</v>
      </c>
      <c r="H31" s="12">
        <f t="shared" si="2"/>
        <v>141291.67000000001</v>
      </c>
      <c r="I31" s="14">
        <f t="shared" si="0"/>
        <v>0.20503098981642545</v>
      </c>
      <c r="J31" s="5" t="str">
        <f t="shared" si="1"/>
        <v>High Growth</v>
      </c>
    </row>
    <row r="32" spans="1:10">
      <c r="A32" s="5" t="s">
        <v>43</v>
      </c>
      <c r="B32" s="11">
        <v>143909</v>
      </c>
      <c r="C32" s="5">
        <v>1563</v>
      </c>
      <c r="D32" s="5">
        <v>92.07</v>
      </c>
      <c r="E32" s="5">
        <v>19251</v>
      </c>
      <c r="F32" s="5">
        <v>53113</v>
      </c>
      <c r="G32" s="5" t="s">
        <v>16</v>
      </c>
      <c r="H32" s="12">
        <f t="shared" si="2"/>
        <v>135014</v>
      </c>
      <c r="I32" s="14">
        <f t="shared" si="0"/>
        <v>8.422852417891204E-3</v>
      </c>
      <c r="J32" s="5" t="str">
        <f t="shared" si="1"/>
        <v>Normal Growth</v>
      </c>
    </row>
    <row r="33" spans="1:10">
      <c r="A33" s="5" t="s">
        <v>44</v>
      </c>
      <c r="B33" s="11">
        <v>140965</v>
      </c>
      <c r="C33" s="5">
        <v>1146</v>
      </c>
      <c r="D33" s="5">
        <v>123.01</v>
      </c>
      <c r="E33" s="5">
        <v>18405</v>
      </c>
      <c r="F33" s="5">
        <v>56491</v>
      </c>
      <c r="G33" s="5" t="s">
        <v>19</v>
      </c>
      <c r="H33" s="12">
        <f t="shared" si="2"/>
        <v>142527</v>
      </c>
      <c r="I33" s="14">
        <f t="shared" si="0"/>
        <v>-2.0457372367259866E-2</v>
      </c>
      <c r="J33" s="5" t="str">
        <f t="shared" si="1"/>
        <v>Revenue Decline</v>
      </c>
    </row>
    <row r="34" spans="1:10">
      <c r="A34" s="5" t="s">
        <v>45</v>
      </c>
      <c r="B34" s="11">
        <v>153330</v>
      </c>
      <c r="C34" s="5">
        <v>1246</v>
      </c>
      <c r="D34" s="5">
        <v>123.06</v>
      </c>
      <c r="E34" s="5">
        <v>20011</v>
      </c>
      <c r="F34" s="5">
        <v>56483</v>
      </c>
      <c r="G34" s="5" t="s">
        <v>19</v>
      </c>
      <c r="H34" s="12">
        <f t="shared" si="2"/>
        <v>146068</v>
      </c>
      <c r="I34" s="14">
        <f t="shared" si="0"/>
        <v>8.7716809137019833E-2</v>
      </c>
      <c r="J34" s="5" t="str">
        <f t="shared" si="1"/>
        <v>Normal Growth</v>
      </c>
    </row>
    <row r="35" spans="1:10">
      <c r="A35" s="5" t="s">
        <v>46</v>
      </c>
      <c r="B35" s="11">
        <v>164388</v>
      </c>
      <c r="C35" s="5">
        <v>1235</v>
      </c>
      <c r="D35" s="5">
        <v>133.11000000000001</v>
      </c>
      <c r="E35" s="5">
        <v>18740</v>
      </c>
      <c r="F35" s="5">
        <v>56881</v>
      </c>
      <c r="G35" s="5" t="s">
        <v>19</v>
      </c>
      <c r="H35" s="12">
        <f t="shared" si="2"/>
        <v>152894.32999999999</v>
      </c>
      <c r="I35" s="14">
        <f t="shared" si="0"/>
        <v>7.2118959107806691E-2</v>
      </c>
      <c r="J35" s="5" t="str">
        <f t="shared" si="1"/>
        <v>Normal Growth</v>
      </c>
    </row>
    <row r="36" spans="1:10">
      <c r="A36" s="5" t="s">
        <v>47</v>
      </c>
      <c r="B36" s="11">
        <v>142572</v>
      </c>
      <c r="C36" s="5">
        <v>1211</v>
      </c>
      <c r="D36" s="5">
        <v>117.73</v>
      </c>
      <c r="E36" s="5">
        <v>20369</v>
      </c>
      <c r="F36" s="5">
        <v>48214</v>
      </c>
      <c r="G36" s="5" t="s">
        <v>22</v>
      </c>
      <c r="H36" s="12">
        <f t="shared" si="2"/>
        <v>153430</v>
      </c>
      <c r="I36" s="14">
        <f t="shared" si="0"/>
        <v>-0.1327104168187459</v>
      </c>
      <c r="J36" s="5" t="str">
        <f t="shared" si="1"/>
        <v>Severe Decline</v>
      </c>
    </row>
    <row r="37" spans="1:10">
      <c r="A37" s="5" t="s">
        <v>48</v>
      </c>
      <c r="B37" s="11">
        <v>144927</v>
      </c>
      <c r="C37" s="5">
        <v>1489</v>
      </c>
      <c r="D37" s="5">
        <v>97.33</v>
      </c>
      <c r="E37" s="5">
        <v>17687</v>
      </c>
      <c r="F37" s="5">
        <v>54041</v>
      </c>
      <c r="G37" s="5" t="s">
        <v>22</v>
      </c>
      <c r="H37" s="12">
        <f t="shared" si="2"/>
        <v>150629</v>
      </c>
      <c r="I37" s="14">
        <f t="shared" si="0"/>
        <v>1.6517969867856242E-2</v>
      </c>
      <c r="J37" s="5" t="str">
        <f t="shared" si="1"/>
        <v>Normal Growth</v>
      </c>
    </row>
    <row r="38" spans="1:10">
      <c r="A38" s="5" t="s">
        <v>49</v>
      </c>
      <c r="B38" s="11">
        <v>173005</v>
      </c>
      <c r="C38" s="5">
        <v>1415</v>
      </c>
      <c r="D38" s="5">
        <v>122.27</v>
      </c>
      <c r="E38" s="5">
        <v>19467</v>
      </c>
      <c r="F38" s="5">
        <v>58110</v>
      </c>
      <c r="G38" s="5" t="s">
        <v>22</v>
      </c>
      <c r="H38" s="12">
        <f t="shared" si="2"/>
        <v>153501.32999999999</v>
      </c>
      <c r="I38" s="14">
        <f t="shared" si="0"/>
        <v>0.19373891683399228</v>
      </c>
      <c r="J38" s="5" t="str">
        <f t="shared" si="1"/>
        <v>High Growth</v>
      </c>
    </row>
    <row r="39" spans="1:10">
      <c r="A39" s="5" t="s">
        <v>50</v>
      </c>
      <c r="B39" s="11">
        <v>191087</v>
      </c>
      <c r="C39" s="5">
        <v>2197</v>
      </c>
      <c r="D39" s="5">
        <v>86.98</v>
      </c>
      <c r="E39" s="5">
        <v>21648</v>
      </c>
      <c r="F39" s="5">
        <v>69562</v>
      </c>
      <c r="G39" s="5" t="s">
        <v>26</v>
      </c>
      <c r="H39" s="12">
        <f t="shared" si="2"/>
        <v>169673</v>
      </c>
      <c r="I39" s="14">
        <f t="shared" si="0"/>
        <v>0.10451721048524609</v>
      </c>
      <c r="J39" s="5" t="str">
        <f t="shared" si="1"/>
        <v>Normal Growth</v>
      </c>
    </row>
    <row r="40" spans="1:10">
      <c r="A40" s="5" t="s">
        <v>51</v>
      </c>
      <c r="B40" s="11">
        <v>174049</v>
      </c>
      <c r="C40" s="5">
        <v>1554</v>
      </c>
      <c r="D40" s="5">
        <v>112</v>
      </c>
      <c r="E40" s="5">
        <v>20592</v>
      </c>
      <c r="F40" s="5">
        <v>70937</v>
      </c>
      <c r="G40" s="5" t="s">
        <v>26</v>
      </c>
      <c r="H40" s="12">
        <f t="shared" si="2"/>
        <v>179380.33</v>
      </c>
      <c r="I40" s="14">
        <f t="shared" si="0"/>
        <v>-8.916357470680894E-2</v>
      </c>
      <c r="J40" s="5" t="str">
        <f t="shared" si="1"/>
        <v>Revenue Decline</v>
      </c>
    </row>
    <row r="41" spans="1:10">
      <c r="A41" s="5" t="s">
        <v>52</v>
      </c>
      <c r="B41" s="11">
        <v>175218</v>
      </c>
      <c r="C41" s="5">
        <v>1505</v>
      </c>
      <c r="D41" s="5">
        <v>116.42</v>
      </c>
      <c r="E41" s="5">
        <v>20414</v>
      </c>
      <c r="F41" s="5">
        <v>69370</v>
      </c>
      <c r="G41" s="5" t="s">
        <v>26</v>
      </c>
      <c r="H41" s="12">
        <f t="shared" si="2"/>
        <v>180118</v>
      </c>
      <c r="I41" s="14">
        <f t="shared" si="0"/>
        <v>6.7164993766123332E-3</v>
      </c>
      <c r="J41" s="5" t="str">
        <f t="shared" si="1"/>
        <v>Normal Growth</v>
      </c>
    </row>
    <row r="44" spans="1:10">
      <c r="A44" t="s">
        <v>53</v>
      </c>
    </row>
    <row r="62" spans="1:3">
      <c r="A62" t="s">
        <v>54</v>
      </c>
    </row>
    <row r="64" spans="1:3">
      <c r="A64" t="s">
        <v>55</v>
      </c>
      <c r="B64" t="s">
        <v>56</v>
      </c>
      <c r="C64" t="s">
        <v>57</v>
      </c>
    </row>
    <row r="65" spans="1:3">
      <c r="A65" s="15" t="s">
        <v>16</v>
      </c>
      <c r="B65" s="16">
        <v>104910.33333333333</v>
      </c>
      <c r="C65">
        <v>933.88888888888891</v>
      </c>
    </row>
    <row r="66" spans="1:3">
      <c r="A66" s="15" t="s">
        <v>19</v>
      </c>
      <c r="B66" s="16">
        <v>125997.44444444444</v>
      </c>
      <c r="C66">
        <v>1183.1111111111111</v>
      </c>
    </row>
    <row r="67" spans="1:3">
      <c r="A67" s="15" t="s">
        <v>22</v>
      </c>
      <c r="B67" s="16">
        <v>126806</v>
      </c>
      <c r="C67">
        <v>1209.2222222222222</v>
      </c>
    </row>
    <row r="68" spans="1:3">
      <c r="A68" s="15" t="s">
        <v>26</v>
      </c>
      <c r="B68" s="16">
        <v>153169.33333333334</v>
      </c>
      <c r="C68">
        <v>1467.6666666666667</v>
      </c>
    </row>
    <row r="69" spans="1:3">
      <c r="A69" s="15" t="s">
        <v>58</v>
      </c>
      <c r="B69" s="16">
        <v>127720.77777777778</v>
      </c>
      <c r="C69">
        <v>1198.4722222222222</v>
      </c>
    </row>
    <row r="72" spans="1:3">
      <c r="A72" s="15" t="s">
        <v>59</v>
      </c>
    </row>
    <row r="91" spans="1:2">
      <c r="A91" t="s">
        <v>60</v>
      </c>
    </row>
    <row r="92" spans="1:2">
      <c r="A92" t="s">
        <v>61</v>
      </c>
      <c r="B92">
        <f>ROUND(CORREL(Table15[Ad_Spend],Table15[Revenue]),3)</f>
        <v>0.88600000000000001</v>
      </c>
    </row>
    <row r="94" spans="1:2">
      <c r="A94" t="s">
        <v>62</v>
      </c>
      <c r="B94">
        <f>ROUND(CORREL(Table15[Website_Traffic],Table15[Orders]),3)</f>
        <v>0.77900000000000003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2026-05-22T07:26:12Z</dcterms:created>
  <dcterms:modified xsi:type="dcterms:W3CDTF">2026-05-22T07:26:25Z</dcterms:modified>
</cp:coreProperties>
</file>