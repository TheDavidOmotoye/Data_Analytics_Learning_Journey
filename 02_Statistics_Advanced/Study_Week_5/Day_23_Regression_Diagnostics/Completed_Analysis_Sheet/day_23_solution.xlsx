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890B36ED-95C8-4205-9F4C-E7F6519103EA}" xr6:coauthVersionLast="47" xr6:coauthVersionMax="47" xr10:uidLastSave="{00000000-0000-0000-0000-000000000000}"/>
  <bookViews>
    <workbookView xWindow="-108" yWindow="-108" windowWidth="23256" windowHeight="12456" xr2:uid="{37C827C8-6E2C-4C04-BF9C-520CEDE9E5AF}"/>
  </bookViews>
  <sheets>
    <sheet name="Day 23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A67" i="1" s="1"/>
  <c r="A70" i="1" s="1"/>
  <c r="D6" i="1"/>
  <c r="A58" i="1" s="1"/>
  <c r="E6" i="1" l="1"/>
  <c r="A61" i="1" l="1"/>
  <c r="A64" i="1"/>
  <c r="B64" i="1" s="1"/>
  <c r="F53" i="1" l="1"/>
  <c r="F49" i="1"/>
  <c r="F45" i="1"/>
  <c r="F37" i="1"/>
  <c r="F33" i="1"/>
  <c r="F29" i="1"/>
  <c r="F17" i="1"/>
  <c r="F13" i="1"/>
  <c r="F54" i="1"/>
  <c r="F50" i="1"/>
  <c r="F46" i="1"/>
  <c r="F42" i="1"/>
  <c r="F38" i="1"/>
  <c r="F34" i="1"/>
  <c r="F30" i="1"/>
  <c r="F26" i="1"/>
  <c r="F22" i="1"/>
  <c r="F18" i="1"/>
  <c r="F14" i="1"/>
  <c r="F10" i="1"/>
  <c r="F6" i="1"/>
  <c r="F48" i="1"/>
  <c r="F28" i="1"/>
  <c r="F24" i="1"/>
  <c r="F16" i="1"/>
  <c r="F12" i="1"/>
  <c r="F41" i="1"/>
  <c r="F55" i="1"/>
  <c r="F51" i="1"/>
  <c r="F47" i="1"/>
  <c r="F43" i="1"/>
  <c r="F39" i="1"/>
  <c r="F35" i="1"/>
  <c r="F31" i="1"/>
  <c r="F27" i="1"/>
  <c r="F23" i="1"/>
  <c r="F19" i="1"/>
  <c r="F15" i="1"/>
  <c r="F11" i="1"/>
  <c r="F7" i="1"/>
  <c r="F52" i="1"/>
  <c r="F44" i="1"/>
  <c r="F40" i="1"/>
  <c r="F36" i="1"/>
  <c r="F32" i="1"/>
  <c r="F20" i="1"/>
  <c r="F8" i="1"/>
  <c r="F25" i="1"/>
  <c r="F21" i="1"/>
  <c r="F9" i="1"/>
</calcChain>
</file>

<file path=xl/sharedStrings.xml><?xml version="1.0" encoding="utf-8"?>
<sst xmlns="http://schemas.openxmlformats.org/spreadsheetml/2006/main" count="70" uniqueCount="70">
  <si>
    <t>DAY 23: Regression Diagnostics</t>
  </si>
  <si>
    <t>Objective</t>
  </si>
  <si>
    <t>Evaluate model quality using residuals, error, and fit diagnostics.</t>
  </si>
  <si>
    <t>Suggested Practice:</t>
  </si>
  <si>
    <t>Attempt the exercises independently before reviewing guided solutions.</t>
  </si>
  <si>
    <t>Observation_ID</t>
  </si>
  <si>
    <t>Actual_Sales</t>
  </si>
  <si>
    <t>Predicted_Sales</t>
  </si>
  <si>
    <t>Residual</t>
  </si>
  <si>
    <t>Absolute_Residual</t>
  </si>
  <si>
    <t>Outlier_Flag</t>
  </si>
  <si>
    <t>Squared_Residual</t>
  </si>
  <si>
    <t>Advertising_Spend</t>
  </si>
  <si>
    <t>Price</t>
  </si>
  <si>
    <t>Competitor_Price</t>
  </si>
  <si>
    <t>DIA-001</t>
  </si>
  <si>
    <t>DIA-002</t>
  </si>
  <si>
    <t>DIA-003</t>
  </si>
  <si>
    <t>DIA-004</t>
  </si>
  <si>
    <t>DIA-005</t>
  </si>
  <si>
    <t>DIA-006</t>
  </si>
  <si>
    <t>DIA-007</t>
  </si>
  <si>
    <t>DIA-008</t>
  </si>
  <si>
    <t>DIA-009</t>
  </si>
  <si>
    <t>DIA-010</t>
  </si>
  <si>
    <t>DIA-011</t>
  </si>
  <si>
    <t>DIA-012</t>
  </si>
  <si>
    <t>DIA-013</t>
  </si>
  <si>
    <t>DIA-014</t>
  </si>
  <si>
    <t>DIA-015</t>
  </si>
  <si>
    <t>DIA-016</t>
  </si>
  <si>
    <t>DIA-017</t>
  </si>
  <si>
    <t>DIA-018</t>
  </si>
  <si>
    <t>DIA-019</t>
  </si>
  <si>
    <t>DIA-020</t>
  </si>
  <si>
    <t>DIA-021</t>
  </si>
  <si>
    <t>DIA-022</t>
  </si>
  <si>
    <t>DIA-023</t>
  </si>
  <si>
    <t>DIA-024</t>
  </si>
  <si>
    <t>DIA-025</t>
  </si>
  <si>
    <t>DIA-026</t>
  </si>
  <si>
    <t>DIA-027</t>
  </si>
  <si>
    <t>DIA-028</t>
  </si>
  <si>
    <t>DIA-029</t>
  </si>
  <si>
    <t>DIA-030</t>
  </si>
  <si>
    <t>DIA-031</t>
  </si>
  <si>
    <t>DIA-032</t>
  </si>
  <si>
    <t>DIA-033</t>
  </si>
  <si>
    <t>DIA-034</t>
  </si>
  <si>
    <t>DIA-035</t>
  </si>
  <si>
    <t>DIA-036</t>
  </si>
  <si>
    <t>DIA-037</t>
  </si>
  <si>
    <t>DIA-038</t>
  </si>
  <si>
    <t>DIA-039</t>
  </si>
  <si>
    <t>DIA-040</t>
  </si>
  <si>
    <t>DIA-041</t>
  </si>
  <si>
    <t>DIA-042</t>
  </si>
  <si>
    <t>DIA-043</t>
  </si>
  <si>
    <t>DIA-044</t>
  </si>
  <si>
    <t>DIA-045</t>
  </si>
  <si>
    <t>DIA-046</t>
  </si>
  <si>
    <t>DIA-047</t>
  </si>
  <si>
    <t>DIA-048</t>
  </si>
  <si>
    <t>DIA-049</t>
  </si>
  <si>
    <t>DIA-050</t>
  </si>
  <si>
    <t>MEAN RESIDUAL</t>
  </si>
  <si>
    <t>MAX RESIDUAL</t>
  </si>
  <si>
    <t>AVERAGE ERROR</t>
  </si>
  <si>
    <t>MSE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</si>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</sst>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Sales vs Residual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 23'!$C$6:$C$55</c:f>
              <c:numCache>
                <c:formatCode>General</c:formatCode>
                <c:ptCount val="50"/>
                <c:pt idx="0">
                  <c:v>54147</c:v>
                </c:pt>
                <c:pt idx="1">
                  <c:v>38745</c:v>
                </c:pt>
                <c:pt idx="2">
                  <c:v>42199</c:v>
                </c:pt>
                <c:pt idx="3">
                  <c:v>24433</c:v>
                </c:pt>
                <c:pt idx="4">
                  <c:v>29889</c:v>
                </c:pt>
                <c:pt idx="5">
                  <c:v>30033</c:v>
                </c:pt>
                <c:pt idx="6">
                  <c:v>15837</c:v>
                </c:pt>
                <c:pt idx="7">
                  <c:v>29910</c:v>
                </c:pt>
                <c:pt idx="8">
                  <c:v>20267</c:v>
                </c:pt>
                <c:pt idx="9">
                  <c:v>32342</c:v>
                </c:pt>
                <c:pt idx="10">
                  <c:v>30726</c:v>
                </c:pt>
                <c:pt idx="11">
                  <c:v>27520</c:v>
                </c:pt>
                <c:pt idx="12">
                  <c:v>26126</c:v>
                </c:pt>
                <c:pt idx="13">
                  <c:v>40702</c:v>
                </c:pt>
                <c:pt idx="14">
                  <c:v>29539</c:v>
                </c:pt>
                <c:pt idx="15">
                  <c:v>45416</c:v>
                </c:pt>
                <c:pt idx="16">
                  <c:v>17179</c:v>
                </c:pt>
                <c:pt idx="17">
                  <c:v>39783</c:v>
                </c:pt>
                <c:pt idx="18">
                  <c:v>39065</c:v>
                </c:pt>
                <c:pt idx="19">
                  <c:v>20772</c:v>
                </c:pt>
                <c:pt idx="20">
                  <c:v>34391</c:v>
                </c:pt>
                <c:pt idx="21">
                  <c:v>59206</c:v>
                </c:pt>
                <c:pt idx="22">
                  <c:v>28583</c:v>
                </c:pt>
                <c:pt idx="23">
                  <c:v>59081</c:v>
                </c:pt>
                <c:pt idx="24">
                  <c:v>61747</c:v>
                </c:pt>
                <c:pt idx="25">
                  <c:v>36493</c:v>
                </c:pt>
                <c:pt idx="26">
                  <c:v>57346</c:v>
                </c:pt>
                <c:pt idx="27">
                  <c:v>33572</c:v>
                </c:pt>
                <c:pt idx="28">
                  <c:v>32634</c:v>
                </c:pt>
                <c:pt idx="29">
                  <c:v>17612</c:v>
                </c:pt>
                <c:pt idx="30">
                  <c:v>32468</c:v>
                </c:pt>
                <c:pt idx="31">
                  <c:v>37807</c:v>
                </c:pt>
                <c:pt idx="32">
                  <c:v>32685</c:v>
                </c:pt>
                <c:pt idx="33">
                  <c:v>24657</c:v>
                </c:pt>
                <c:pt idx="34">
                  <c:v>22420</c:v>
                </c:pt>
                <c:pt idx="35">
                  <c:v>44579</c:v>
                </c:pt>
                <c:pt idx="36">
                  <c:v>22079</c:v>
                </c:pt>
                <c:pt idx="37">
                  <c:v>25309</c:v>
                </c:pt>
                <c:pt idx="38">
                  <c:v>31448</c:v>
                </c:pt>
                <c:pt idx="39">
                  <c:v>59571</c:v>
                </c:pt>
                <c:pt idx="40">
                  <c:v>12969</c:v>
                </c:pt>
                <c:pt idx="41">
                  <c:v>20073</c:v>
                </c:pt>
                <c:pt idx="42">
                  <c:v>14070</c:v>
                </c:pt>
                <c:pt idx="43">
                  <c:v>46411</c:v>
                </c:pt>
                <c:pt idx="44">
                  <c:v>48192</c:v>
                </c:pt>
                <c:pt idx="45">
                  <c:v>45361</c:v>
                </c:pt>
                <c:pt idx="46">
                  <c:v>14414</c:v>
                </c:pt>
                <c:pt idx="47">
                  <c:v>33576</c:v>
                </c:pt>
                <c:pt idx="48">
                  <c:v>54715</c:v>
                </c:pt>
                <c:pt idx="49">
                  <c:v>34369</c:v>
                </c:pt>
              </c:numCache>
            </c:numRef>
          </c:xVal>
          <c:yVal>
            <c:numRef>
              <c:f>'Day 23'!$D$6:$D$55</c:f>
              <c:numCache>
                <c:formatCode>General</c:formatCode>
                <c:ptCount val="50"/>
                <c:pt idx="0">
                  <c:v>-2775</c:v>
                </c:pt>
                <c:pt idx="1">
                  <c:v>-5539</c:v>
                </c:pt>
                <c:pt idx="2">
                  <c:v>6012</c:v>
                </c:pt>
                <c:pt idx="3">
                  <c:v>2929</c:v>
                </c:pt>
                <c:pt idx="4">
                  <c:v>3947</c:v>
                </c:pt>
                <c:pt idx="5">
                  <c:v>-1959</c:v>
                </c:pt>
                <c:pt idx="6">
                  <c:v>5589</c:v>
                </c:pt>
                <c:pt idx="7">
                  <c:v>-3876</c:v>
                </c:pt>
                <c:pt idx="8">
                  <c:v>-951</c:v>
                </c:pt>
                <c:pt idx="9">
                  <c:v>1190</c:v>
                </c:pt>
                <c:pt idx="10">
                  <c:v>8974</c:v>
                </c:pt>
                <c:pt idx="11">
                  <c:v>777</c:v>
                </c:pt>
                <c:pt idx="12">
                  <c:v>-2773</c:v>
                </c:pt>
                <c:pt idx="13">
                  <c:v>5903</c:v>
                </c:pt>
                <c:pt idx="14">
                  <c:v>-3570</c:v>
                </c:pt>
                <c:pt idx="15">
                  <c:v>1850</c:v>
                </c:pt>
                <c:pt idx="16">
                  <c:v>1871</c:v>
                </c:pt>
                <c:pt idx="17">
                  <c:v>3754</c:v>
                </c:pt>
                <c:pt idx="18">
                  <c:v>4876</c:v>
                </c:pt>
                <c:pt idx="19">
                  <c:v>-4592</c:v>
                </c:pt>
                <c:pt idx="20">
                  <c:v>-3620</c:v>
                </c:pt>
                <c:pt idx="21">
                  <c:v>1446</c:v>
                </c:pt>
                <c:pt idx="22">
                  <c:v>4444</c:v>
                </c:pt>
                <c:pt idx="23">
                  <c:v>1867</c:v>
                </c:pt>
                <c:pt idx="24">
                  <c:v>-571</c:v>
                </c:pt>
                <c:pt idx="25">
                  <c:v>4471</c:v>
                </c:pt>
                <c:pt idx="26">
                  <c:v>3534</c:v>
                </c:pt>
                <c:pt idx="27">
                  <c:v>1564</c:v>
                </c:pt>
                <c:pt idx="28">
                  <c:v>5204</c:v>
                </c:pt>
                <c:pt idx="29">
                  <c:v>-6734</c:v>
                </c:pt>
                <c:pt idx="30">
                  <c:v>-794</c:v>
                </c:pt>
                <c:pt idx="31">
                  <c:v>-1452</c:v>
                </c:pt>
                <c:pt idx="32">
                  <c:v>-1527</c:v>
                </c:pt>
                <c:pt idx="33">
                  <c:v>-5046</c:v>
                </c:pt>
                <c:pt idx="34">
                  <c:v>4052</c:v>
                </c:pt>
                <c:pt idx="35">
                  <c:v>8462</c:v>
                </c:pt>
                <c:pt idx="36">
                  <c:v>-7914</c:v>
                </c:pt>
                <c:pt idx="37">
                  <c:v>-1429</c:v>
                </c:pt>
                <c:pt idx="38">
                  <c:v>-324</c:v>
                </c:pt>
                <c:pt idx="39">
                  <c:v>11133</c:v>
                </c:pt>
                <c:pt idx="40">
                  <c:v>1916</c:v>
                </c:pt>
                <c:pt idx="41">
                  <c:v>5045</c:v>
                </c:pt>
                <c:pt idx="42">
                  <c:v>-4659</c:v>
                </c:pt>
                <c:pt idx="43">
                  <c:v>-715</c:v>
                </c:pt>
                <c:pt idx="44">
                  <c:v>-716</c:v>
                </c:pt>
                <c:pt idx="45">
                  <c:v>-8388</c:v>
                </c:pt>
                <c:pt idx="46">
                  <c:v>-538</c:v>
                </c:pt>
                <c:pt idx="47">
                  <c:v>4687</c:v>
                </c:pt>
                <c:pt idx="48">
                  <c:v>10899</c:v>
                </c:pt>
                <c:pt idx="49">
                  <c:v>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8-4542-AC0A-10B25B6AA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79039"/>
        <c:axId val="1102873279"/>
      </c:scatterChart>
      <c:valAx>
        <c:axId val="110287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Predicted_Sales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873279"/>
        <c:crosses val="autoZero"/>
        <c:crossBetween val="midCat"/>
      </c:valAx>
      <c:valAx>
        <c:axId val="110287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87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1504950</xdr:colOff>
      <xdr:row>56</xdr:row>
      <xdr:rowOff>15240</xdr:rowOff>
    </xdr:from>
    <xdr:to>
      <xdr:col>6</xdr:col>
      <xdr:colOff>1390650</xdr:colOff>
      <xdr:row>71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8202E-8CD9-41A5-B5BE-68B590AC1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advanced_statistics_days_11_25.xlsx" TargetMode="External"/><Relationship Id="rId1" Type="http://schemas.openxmlformats.org/officeDocument/2006/relationships/externalLinkPath" Target="file:///C:\Users\david\Downloads\advanced_statistics_days_11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Guide &amp; Formulas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  <sheetName val="Day 22"/>
      <sheetName val="Day 22 (2)"/>
      <sheetName val="Day 23"/>
      <sheetName val="Day 24"/>
      <sheetName val="Day 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54147</v>
          </cell>
          <cell r="D6">
            <v>-2775</v>
          </cell>
        </row>
        <row r="7">
          <cell r="C7">
            <v>38745</v>
          </cell>
          <cell r="D7">
            <v>-5539</v>
          </cell>
        </row>
        <row r="8">
          <cell r="C8">
            <v>42199</v>
          </cell>
          <cell r="D8">
            <v>6012</v>
          </cell>
        </row>
        <row r="9">
          <cell r="C9">
            <v>24433</v>
          </cell>
          <cell r="D9">
            <v>2929</v>
          </cell>
        </row>
        <row r="10">
          <cell r="C10">
            <v>29889</v>
          </cell>
          <cell r="D10">
            <v>3947</v>
          </cell>
        </row>
        <row r="11">
          <cell r="C11">
            <v>30033</v>
          </cell>
          <cell r="D11">
            <v>-1959</v>
          </cell>
        </row>
        <row r="12">
          <cell r="C12">
            <v>15837</v>
          </cell>
          <cell r="D12">
            <v>5589</v>
          </cell>
        </row>
        <row r="13">
          <cell r="C13">
            <v>29910</v>
          </cell>
          <cell r="D13">
            <v>-3876</v>
          </cell>
        </row>
        <row r="14">
          <cell r="C14">
            <v>20267</v>
          </cell>
          <cell r="D14">
            <v>-951</v>
          </cell>
        </row>
        <row r="15">
          <cell r="C15">
            <v>32342</v>
          </cell>
          <cell r="D15">
            <v>1190</v>
          </cell>
        </row>
        <row r="16">
          <cell r="C16">
            <v>30726</v>
          </cell>
          <cell r="D16">
            <v>8974</v>
          </cell>
        </row>
        <row r="17">
          <cell r="C17">
            <v>27520</v>
          </cell>
          <cell r="D17">
            <v>777</v>
          </cell>
        </row>
        <row r="18">
          <cell r="C18">
            <v>26126</v>
          </cell>
          <cell r="D18">
            <v>-2773</v>
          </cell>
        </row>
        <row r="19">
          <cell r="C19">
            <v>40702</v>
          </cell>
          <cell r="D19">
            <v>5903</v>
          </cell>
        </row>
        <row r="20">
          <cell r="C20">
            <v>29539</v>
          </cell>
          <cell r="D20">
            <v>-3570</v>
          </cell>
        </row>
        <row r="21">
          <cell r="C21">
            <v>45416</v>
          </cell>
          <cell r="D21">
            <v>1850</v>
          </cell>
        </row>
        <row r="22">
          <cell r="C22">
            <v>17179</v>
          </cell>
          <cell r="D22">
            <v>1871</v>
          </cell>
        </row>
        <row r="23">
          <cell r="C23">
            <v>39783</v>
          </cell>
          <cell r="D23">
            <v>3754</v>
          </cell>
        </row>
        <row r="24">
          <cell r="C24">
            <v>39065</v>
          </cell>
          <cell r="D24">
            <v>4876</v>
          </cell>
        </row>
        <row r="25">
          <cell r="C25">
            <v>20772</v>
          </cell>
          <cell r="D25">
            <v>-4592</v>
          </cell>
        </row>
        <row r="26">
          <cell r="C26">
            <v>34391</v>
          </cell>
          <cell r="D26">
            <v>-3620</v>
          </cell>
        </row>
        <row r="27">
          <cell r="C27">
            <v>59206</v>
          </cell>
          <cell r="D27">
            <v>1446</v>
          </cell>
        </row>
        <row r="28">
          <cell r="C28">
            <v>28583</v>
          </cell>
          <cell r="D28">
            <v>4444</v>
          </cell>
        </row>
        <row r="29">
          <cell r="C29">
            <v>59081</v>
          </cell>
          <cell r="D29">
            <v>1867</v>
          </cell>
        </row>
        <row r="30">
          <cell r="C30">
            <v>61747</v>
          </cell>
          <cell r="D30">
            <v>-571</v>
          </cell>
        </row>
        <row r="31">
          <cell r="C31">
            <v>36493</v>
          </cell>
          <cell r="D31">
            <v>4471</v>
          </cell>
        </row>
        <row r="32">
          <cell r="C32">
            <v>57346</v>
          </cell>
          <cell r="D32">
            <v>3534</v>
          </cell>
        </row>
        <row r="33">
          <cell r="C33">
            <v>33572</v>
          </cell>
          <cell r="D33">
            <v>1564</v>
          </cell>
        </row>
        <row r="34">
          <cell r="C34">
            <v>32634</v>
          </cell>
          <cell r="D34">
            <v>5204</v>
          </cell>
        </row>
        <row r="35">
          <cell r="C35">
            <v>17612</v>
          </cell>
          <cell r="D35">
            <v>-6734</v>
          </cell>
        </row>
        <row r="36">
          <cell r="C36">
            <v>32468</v>
          </cell>
          <cell r="D36">
            <v>-794</v>
          </cell>
        </row>
        <row r="37">
          <cell r="C37">
            <v>37807</v>
          </cell>
          <cell r="D37">
            <v>-1452</v>
          </cell>
        </row>
        <row r="38">
          <cell r="C38">
            <v>32685</v>
          </cell>
          <cell r="D38">
            <v>-1527</v>
          </cell>
        </row>
        <row r="39">
          <cell r="C39">
            <v>24657</v>
          </cell>
          <cell r="D39">
            <v>-5046</v>
          </cell>
        </row>
        <row r="40">
          <cell r="C40">
            <v>22420</v>
          </cell>
          <cell r="D40">
            <v>4052</v>
          </cell>
        </row>
        <row r="41">
          <cell r="C41">
            <v>44579</v>
          </cell>
          <cell r="D41">
            <v>8462</v>
          </cell>
        </row>
        <row r="42">
          <cell r="C42">
            <v>22079</v>
          </cell>
          <cell r="D42">
            <v>-7914</v>
          </cell>
        </row>
        <row r="43">
          <cell r="C43">
            <v>25309</v>
          </cell>
          <cell r="D43">
            <v>-1429</v>
          </cell>
        </row>
        <row r="44">
          <cell r="C44">
            <v>31448</v>
          </cell>
          <cell r="D44">
            <v>-324</v>
          </cell>
        </row>
        <row r="45">
          <cell r="C45">
            <v>59571</v>
          </cell>
          <cell r="D45">
            <v>11133</v>
          </cell>
        </row>
        <row r="46">
          <cell r="C46">
            <v>12969</v>
          </cell>
          <cell r="D46">
            <v>1916</v>
          </cell>
        </row>
        <row r="47">
          <cell r="C47">
            <v>20073</v>
          </cell>
          <cell r="D47">
            <v>5045</v>
          </cell>
        </row>
        <row r="48">
          <cell r="C48">
            <v>14070</v>
          </cell>
          <cell r="D48">
            <v>-4659</v>
          </cell>
        </row>
        <row r="49">
          <cell r="C49">
            <v>46411</v>
          </cell>
          <cell r="D49">
            <v>-715</v>
          </cell>
        </row>
        <row r="50">
          <cell r="C50">
            <v>48192</v>
          </cell>
          <cell r="D50">
            <v>-716</v>
          </cell>
        </row>
        <row r="51">
          <cell r="C51">
            <v>45361</v>
          </cell>
          <cell r="D51">
            <v>-8388</v>
          </cell>
        </row>
        <row r="52">
          <cell r="C52">
            <v>14414</v>
          </cell>
          <cell r="D52">
            <v>-538</v>
          </cell>
        </row>
        <row r="53">
          <cell r="C53">
            <v>33576</v>
          </cell>
          <cell r="D53">
            <v>4687</v>
          </cell>
        </row>
        <row r="54">
          <cell r="C54">
            <v>54715</v>
          </cell>
          <cell r="D54">
            <v>10899</v>
          </cell>
        </row>
        <row r="55">
          <cell r="C55">
            <v>34369</v>
          </cell>
          <cell r="D55">
            <v>332</v>
          </cell>
        </row>
      </sheetData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E4722-983F-43D1-894F-A95EFE781678}" name="Table14" displayName="Table14" ref="A5:J55" totalsRowShown="0" headerRowDxfId="11" dataDxfId="10">
  <autoFilter ref="A5:J55" xr:uid="{50285E5C-1998-4039-91D7-CA6EF85BC521}"/>
  <tableColumns count="10">
    <tableColumn id="1" xr3:uid="{8396453E-DE0C-4155-894B-0163B5617EA4}" name="Observation_ID" dataDxfId="9"/>
    <tableColumn id="2" xr3:uid="{90E85DA9-3186-4098-A64F-524CDC6786CE}" name="Actual_Sales" dataDxfId="8"/>
    <tableColumn id="3" xr3:uid="{D0C9BE66-2935-4D1C-AF49-7CB1F2738BC2}" name="Predicted_Sales" dataDxfId="7"/>
    <tableColumn id="4" xr3:uid="{DDA1F165-9FDF-45C3-B277-FE681E35EAA0}" name="Residual" dataDxfId="6"/>
    <tableColumn id="8" xr3:uid="{35876F12-1D00-45BD-9C48-5AE4ED4A768D}" name="Absolute_Residual" dataDxfId="5">
      <calculatedColumnFormula>ABS(Table14[[#This Row],[Residual]])</calculatedColumnFormula>
    </tableColumn>
    <tableColumn id="10" xr3:uid="{9FCCDF22-A0D7-4E74-AA31-72CFA83C33C3}" name="Outlier_Flag" dataDxfId="4">
      <calculatedColumnFormula>IF(Table14[[#This Row],[Absolute_Residual]]&lt;=$B$64,"Normal","Outlier")</calculatedColumnFormula>
    </tableColumn>
    <tableColumn id="9" xr3:uid="{206E2903-BD9B-48FB-AF53-4968DCF1392D}" name="Squared_Residual" dataDxfId="3">
      <calculatedColumnFormula>Table14[[#This Row],[Residual]]^2</calculatedColumnFormula>
    </tableColumn>
    <tableColumn id="5" xr3:uid="{FF98BF8E-E3B4-4FDD-96FA-103D2A587A58}" name="Advertising_Spend" dataDxfId="2"/>
    <tableColumn id="6" xr3:uid="{79584B11-791E-4D31-A311-7ABD5A8C476A}" name="Price" dataDxfId="1"/>
    <tableColumn id="7" xr3:uid="{15880869-F0B9-407F-8E43-7DA212E8F68C}" name="Competitor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E8B0-D614-4227-A91E-E3D64F193B40}">
  <dimension ref="A1:J70"/>
  <sheetViews>
    <sheetView tabSelected="1" topLeftCell="A48" workbookViewId="0">
      <selection activeCell="A5" sqref="A5:J75"/>
    </sheetView>
  </sheetViews>
  <sheetFormatPr defaultRowHeight="13.8"/>
  <cols>
    <col min="1" max="1" width="18" customWidth="1"/>
    <col min="2" max="4" width="20" customWidth="1"/>
    <col min="5" max="5" width="21.5" bestFit="1" customWidth="1"/>
    <col min="6" max="7" width="21.5" customWidth="1"/>
    <col min="8" max="8" width="21.796875" bestFit="1" customWidth="1"/>
    <col min="9" max="10" width="20" customWidth="1"/>
  </cols>
  <sheetData>
    <row r="1" spans="1:10" ht="17.399999999999999">
      <c r="A1" s="1" t="s">
        <v>0</v>
      </c>
      <c r="B1" s="2"/>
      <c r="C1" s="2"/>
      <c r="D1" s="2"/>
      <c r="H1" s="2"/>
      <c r="I1" s="2"/>
      <c r="J1" s="2"/>
    </row>
    <row r="2" spans="1:10" ht="55.2">
      <c r="A2" s="3" t="s">
        <v>1</v>
      </c>
      <c r="B2" s="3" t="s">
        <v>2</v>
      </c>
      <c r="C2" s="4"/>
      <c r="D2" s="4"/>
      <c r="H2" s="4"/>
      <c r="I2" s="4"/>
      <c r="J2" s="4"/>
    </row>
    <row r="3" spans="1:10" ht="69">
      <c r="A3" s="3" t="s">
        <v>3</v>
      </c>
      <c r="B3" s="3" t="s">
        <v>4</v>
      </c>
      <c r="C3" s="4"/>
      <c r="D3" s="4"/>
      <c r="H3" s="4"/>
      <c r="I3" s="4"/>
      <c r="J3" s="4"/>
    </row>
    <row r="4" spans="1:10">
      <c r="A4" s="5"/>
      <c r="B4" s="5"/>
      <c r="C4" s="4"/>
      <c r="D4" s="4"/>
      <c r="H4" s="4"/>
      <c r="I4" s="4"/>
      <c r="J4" s="4"/>
    </row>
    <row r="5" spans="1:10">
      <c r="A5" s="6" t="s">
        <v>5</v>
      </c>
      <c r="B5" s="6" t="s">
        <v>6</v>
      </c>
      <c r="C5" s="6" t="s">
        <v>7</v>
      </c>
      <c r="D5" s="6" t="s">
        <v>8</v>
      </c>
      <c r="E5" s="7" t="s">
        <v>9</v>
      </c>
      <c r="F5" s="7" t="s">
        <v>10</v>
      </c>
      <c r="G5" s="7" t="s">
        <v>11</v>
      </c>
      <c r="H5" s="6" t="s">
        <v>12</v>
      </c>
      <c r="I5" s="6" t="s">
        <v>13</v>
      </c>
      <c r="J5" s="6" t="s">
        <v>14</v>
      </c>
    </row>
    <row r="6" spans="1:10">
      <c r="A6" s="4" t="s">
        <v>15</v>
      </c>
      <c r="B6" s="4">
        <v>51372</v>
      </c>
      <c r="C6" s="4">
        <v>54147</v>
      </c>
      <c r="D6" s="4">
        <f>Table14[[#This Row],[Actual_Sales]]-Table14[[#This Row],[Predicted_Sales]]</f>
        <v>-2775</v>
      </c>
      <c r="E6" s="4">
        <f>ABS(Table14[[#This Row],[Residual]])</f>
        <v>2775</v>
      </c>
      <c r="F6" s="4" t="str">
        <f>IF(Table14[[#This Row],[Absolute_Residual]]&lt;=$B$64,"Normal","Outlier")</f>
        <v>Normal</v>
      </c>
      <c r="G6" s="4">
        <f>Table14[[#This Row],[Residual]]^2</f>
        <v>7700625</v>
      </c>
      <c r="H6" s="4">
        <v>18141</v>
      </c>
      <c r="I6" s="4">
        <v>21</v>
      </c>
      <c r="J6" s="4">
        <v>26</v>
      </c>
    </row>
    <row r="7" spans="1:10">
      <c r="A7" s="4" t="s">
        <v>16</v>
      </c>
      <c r="B7" s="4">
        <v>33206</v>
      </c>
      <c r="C7" s="4">
        <v>38745</v>
      </c>
      <c r="D7" s="4">
        <v>-5539</v>
      </c>
      <c r="E7" s="4">
        <f>ABS(Table14[[#This Row],[Residual]])</f>
        <v>5539</v>
      </c>
      <c r="F7" s="4" t="str">
        <f>IF(Table14[[#This Row],[Absolute_Residual]]&lt;=$B$64,"Normal","Outlier")</f>
        <v>Normal</v>
      </c>
      <c r="G7" s="4">
        <f>Table14[[#This Row],[Residual]]^2</f>
        <v>30680521</v>
      </c>
      <c r="H7" s="4">
        <v>12202</v>
      </c>
      <c r="I7" s="4">
        <v>23</v>
      </c>
      <c r="J7" s="4">
        <v>30</v>
      </c>
    </row>
    <row r="8" spans="1:10">
      <c r="A8" s="4" t="s">
        <v>17</v>
      </c>
      <c r="B8" s="4">
        <v>48211</v>
      </c>
      <c r="C8" s="4">
        <v>42199</v>
      </c>
      <c r="D8" s="4">
        <v>6012</v>
      </c>
      <c r="E8" s="4">
        <f>ABS(Table14[[#This Row],[Residual]])</f>
        <v>6012</v>
      </c>
      <c r="F8" s="4" t="str">
        <f>IF(Table14[[#This Row],[Absolute_Residual]]&lt;=$B$64,"Normal","Outlier")</f>
        <v>Normal</v>
      </c>
      <c r="G8" s="4">
        <f>Table14[[#This Row],[Residual]]^2</f>
        <v>36144144</v>
      </c>
      <c r="H8" s="4">
        <v>14069</v>
      </c>
      <c r="I8" s="4">
        <v>43</v>
      </c>
      <c r="J8" s="4">
        <v>50</v>
      </c>
    </row>
    <row r="9" spans="1:10">
      <c r="A9" s="4" t="s">
        <v>18</v>
      </c>
      <c r="B9" s="4">
        <v>27362</v>
      </c>
      <c r="C9" s="4">
        <v>24433</v>
      </c>
      <c r="D9" s="4">
        <v>2929</v>
      </c>
      <c r="E9" s="4">
        <f>ABS(Table14[[#This Row],[Residual]])</f>
        <v>2929</v>
      </c>
      <c r="F9" s="4" t="str">
        <f>IF(Table14[[#This Row],[Absolute_Residual]]&lt;=$B$64,"Normal","Outlier")</f>
        <v>Normal</v>
      </c>
      <c r="G9" s="4">
        <f>Table14[[#This Row],[Residual]]^2</f>
        <v>8579041</v>
      </c>
      <c r="H9" s="4">
        <v>7459</v>
      </c>
      <c r="I9" s="4">
        <v>50</v>
      </c>
      <c r="J9" s="4">
        <v>56</v>
      </c>
    </row>
    <row r="10" spans="1:10">
      <c r="A10" s="4" t="s">
        <v>19</v>
      </c>
      <c r="B10" s="4">
        <v>33836</v>
      </c>
      <c r="C10" s="4">
        <v>29889</v>
      </c>
      <c r="D10" s="4">
        <v>3947</v>
      </c>
      <c r="E10" s="4">
        <f>ABS(Table14[[#This Row],[Residual]])</f>
        <v>3947</v>
      </c>
      <c r="F10" s="4" t="str">
        <f>IF(Table14[[#This Row],[Absolute_Residual]]&lt;=$B$64,"Normal","Outlier")</f>
        <v>Normal</v>
      </c>
      <c r="G10" s="4">
        <f>Table14[[#This Row],[Residual]]^2</f>
        <v>15578809</v>
      </c>
      <c r="H10" s="4">
        <v>8811</v>
      </c>
      <c r="I10" s="4">
        <v>21</v>
      </c>
      <c r="J10" s="4">
        <v>26</v>
      </c>
    </row>
    <row r="11" spans="1:10">
      <c r="A11" s="4" t="s">
        <v>20</v>
      </c>
      <c r="B11" s="4">
        <v>28074</v>
      </c>
      <c r="C11" s="4">
        <v>30033</v>
      </c>
      <c r="D11" s="4">
        <v>-1959</v>
      </c>
      <c r="E11" s="4">
        <f>ABS(Table14[[#This Row],[Residual]])</f>
        <v>1959</v>
      </c>
      <c r="F11" s="4" t="str">
        <f>IF(Table14[[#This Row],[Absolute_Residual]]&lt;=$B$64,"Normal","Outlier")</f>
        <v>Normal</v>
      </c>
      <c r="G11" s="4">
        <f>Table14[[#This Row],[Residual]]^2</f>
        <v>3837681</v>
      </c>
      <c r="H11" s="4">
        <v>9651</v>
      </c>
      <c r="I11" s="4">
        <v>45</v>
      </c>
      <c r="J11" s="4">
        <v>46</v>
      </c>
    </row>
    <row r="12" spans="1:10">
      <c r="A12" s="4" t="s">
        <v>21</v>
      </c>
      <c r="B12" s="4">
        <v>21426</v>
      </c>
      <c r="C12" s="4">
        <v>15837</v>
      </c>
      <c r="D12" s="4">
        <v>5589</v>
      </c>
      <c r="E12" s="4">
        <f>ABS(Table14[[#This Row],[Residual]])</f>
        <v>5589</v>
      </c>
      <c r="F12" s="4" t="str">
        <f>IF(Table14[[#This Row],[Absolute_Residual]]&lt;=$B$64,"Normal","Outlier")</f>
        <v>Normal</v>
      </c>
      <c r="G12" s="4">
        <f>Table14[[#This Row],[Residual]]^2</f>
        <v>31236921</v>
      </c>
      <c r="H12" s="4">
        <v>4241</v>
      </c>
      <c r="I12" s="4">
        <v>52</v>
      </c>
      <c r="J12" s="4">
        <v>57</v>
      </c>
    </row>
    <row r="13" spans="1:10">
      <c r="A13" s="4" t="s">
        <v>22</v>
      </c>
      <c r="B13" s="4">
        <v>26034</v>
      </c>
      <c r="C13" s="4">
        <v>29910</v>
      </c>
      <c r="D13" s="4">
        <v>-3876</v>
      </c>
      <c r="E13" s="4">
        <f>ABS(Table14[[#This Row],[Residual]])</f>
        <v>3876</v>
      </c>
      <c r="F13" s="4" t="str">
        <f>IF(Table14[[#This Row],[Absolute_Residual]]&lt;=$B$64,"Normal","Outlier")</f>
        <v>Normal</v>
      </c>
      <c r="G13" s="4">
        <f>Table14[[#This Row],[Residual]]^2</f>
        <v>15023376</v>
      </c>
      <c r="H13" s="4">
        <v>8946</v>
      </c>
      <c r="I13" s="4">
        <v>27</v>
      </c>
      <c r="J13" s="4">
        <v>33</v>
      </c>
    </row>
    <row r="14" spans="1:10">
      <c r="A14" s="4" t="s">
        <v>23</v>
      </c>
      <c r="B14" s="4">
        <v>19316</v>
      </c>
      <c r="C14" s="4">
        <v>20267</v>
      </c>
      <c r="D14" s="4">
        <v>-951</v>
      </c>
      <c r="E14" s="4">
        <f>ABS(Table14[[#This Row],[Residual]])</f>
        <v>951</v>
      </c>
      <c r="F14" s="4" t="str">
        <f>IF(Table14[[#This Row],[Absolute_Residual]]&lt;=$B$64,"Normal","Outlier")</f>
        <v>Normal</v>
      </c>
      <c r="G14" s="4">
        <f>Table14[[#This Row],[Residual]]^2</f>
        <v>904401</v>
      </c>
      <c r="H14" s="4">
        <v>5872</v>
      </c>
      <c r="I14" s="4">
        <v>48</v>
      </c>
      <c r="J14" s="4">
        <v>52</v>
      </c>
    </row>
    <row r="15" spans="1:10">
      <c r="A15" s="4" t="s">
        <v>24</v>
      </c>
      <c r="B15" s="4">
        <v>33532</v>
      </c>
      <c r="C15" s="4">
        <v>32342</v>
      </c>
      <c r="D15" s="4">
        <v>1190</v>
      </c>
      <c r="E15" s="4">
        <f>ABS(Table14[[#This Row],[Residual]])</f>
        <v>1190</v>
      </c>
      <c r="F15" s="4" t="str">
        <f>IF(Table14[[#This Row],[Absolute_Residual]]&lt;=$B$64,"Normal","Outlier")</f>
        <v>Normal</v>
      </c>
      <c r="G15" s="4">
        <f>Table14[[#This Row],[Residual]]^2</f>
        <v>1416100</v>
      </c>
      <c r="H15" s="4">
        <v>10197</v>
      </c>
      <c r="I15" s="4">
        <v>22</v>
      </c>
      <c r="J15" s="4">
        <v>15</v>
      </c>
    </row>
    <row r="16" spans="1:10">
      <c r="A16" s="4" t="s">
        <v>25</v>
      </c>
      <c r="B16" s="4">
        <v>39700</v>
      </c>
      <c r="C16" s="4">
        <v>30726</v>
      </c>
      <c r="D16" s="4">
        <v>8974</v>
      </c>
      <c r="E16" s="4">
        <f>ABS(Table14[[#This Row],[Residual]])</f>
        <v>8974</v>
      </c>
      <c r="F16" s="4" t="str">
        <f>IF(Table14[[#This Row],[Absolute_Residual]]&lt;=$B$64,"Normal","Outlier")</f>
        <v>Outlier</v>
      </c>
      <c r="G16" s="4">
        <f>Table14[[#This Row],[Residual]]^2</f>
        <v>80532676</v>
      </c>
      <c r="H16" s="4">
        <v>8983</v>
      </c>
      <c r="I16" s="4">
        <v>18</v>
      </c>
      <c r="J16" s="4">
        <v>25</v>
      </c>
    </row>
    <row r="17" spans="1:10">
      <c r="A17" s="4" t="s">
        <v>26</v>
      </c>
      <c r="B17" s="4">
        <v>28297</v>
      </c>
      <c r="C17" s="4">
        <v>27520</v>
      </c>
      <c r="D17" s="4">
        <v>777</v>
      </c>
      <c r="E17" s="4">
        <f>ABS(Table14[[#This Row],[Residual]])</f>
        <v>777</v>
      </c>
      <c r="F17" s="4" t="str">
        <f>IF(Table14[[#This Row],[Absolute_Residual]]&lt;=$B$64,"Normal","Outlier")</f>
        <v>Normal</v>
      </c>
      <c r="G17" s="4">
        <f>Table14[[#This Row],[Residual]]^2</f>
        <v>603729</v>
      </c>
      <c r="H17" s="4">
        <v>8046</v>
      </c>
      <c r="I17" s="4">
        <v>29</v>
      </c>
      <c r="J17" s="4">
        <v>36</v>
      </c>
    </row>
    <row r="18" spans="1:10">
      <c r="A18" s="4" t="s">
        <v>27</v>
      </c>
      <c r="B18" s="4">
        <v>23353</v>
      </c>
      <c r="C18" s="4">
        <v>26126</v>
      </c>
      <c r="D18" s="4">
        <v>-2773</v>
      </c>
      <c r="E18" s="4">
        <f>ABS(Table14[[#This Row],[Residual]])</f>
        <v>2773</v>
      </c>
      <c r="F18" s="4" t="str">
        <f>IF(Table14[[#This Row],[Absolute_Residual]]&lt;=$B$64,"Normal","Outlier")</f>
        <v>Normal</v>
      </c>
      <c r="G18" s="4">
        <f>Table14[[#This Row],[Residual]]^2</f>
        <v>7689529</v>
      </c>
      <c r="H18" s="4">
        <v>7414</v>
      </c>
      <c r="I18" s="4">
        <v>28</v>
      </c>
      <c r="J18" s="4">
        <v>37</v>
      </c>
    </row>
    <row r="19" spans="1:10">
      <c r="A19" s="4" t="s">
        <v>28</v>
      </c>
      <c r="B19" s="4">
        <v>46605</v>
      </c>
      <c r="C19" s="4">
        <v>40702</v>
      </c>
      <c r="D19" s="4">
        <v>5903</v>
      </c>
      <c r="E19" s="4">
        <f>ABS(Table14[[#This Row],[Residual]])</f>
        <v>5903</v>
      </c>
      <c r="F19" s="4" t="str">
        <f>IF(Table14[[#This Row],[Absolute_Residual]]&lt;=$B$64,"Normal","Outlier")</f>
        <v>Normal</v>
      </c>
      <c r="G19" s="4">
        <f>Table14[[#This Row],[Residual]]^2</f>
        <v>34845409</v>
      </c>
      <c r="H19" s="4">
        <v>14124</v>
      </c>
      <c r="I19" s="4">
        <v>51</v>
      </c>
      <c r="J19" s="4">
        <v>46</v>
      </c>
    </row>
    <row r="20" spans="1:10">
      <c r="A20" s="4" t="s">
        <v>29</v>
      </c>
      <c r="B20" s="4">
        <v>25969</v>
      </c>
      <c r="C20" s="4">
        <v>29539</v>
      </c>
      <c r="D20" s="4">
        <v>-3570</v>
      </c>
      <c r="E20" s="4">
        <f>ABS(Table14[[#This Row],[Residual]])</f>
        <v>3570</v>
      </c>
      <c r="F20" s="4" t="str">
        <f>IF(Table14[[#This Row],[Absolute_Residual]]&lt;=$B$64,"Normal","Outlier")</f>
        <v>Normal</v>
      </c>
      <c r="G20" s="4">
        <f>Table14[[#This Row],[Residual]]^2</f>
        <v>12744900</v>
      </c>
      <c r="H20" s="4">
        <v>8815</v>
      </c>
      <c r="I20" s="4">
        <v>21</v>
      </c>
      <c r="J20" s="4">
        <v>22</v>
      </c>
    </row>
    <row r="21" spans="1:10">
      <c r="A21" s="4" t="s">
        <v>30</v>
      </c>
      <c r="B21" s="4">
        <v>47266</v>
      </c>
      <c r="C21" s="4">
        <v>45416</v>
      </c>
      <c r="D21" s="4">
        <v>1850</v>
      </c>
      <c r="E21" s="4">
        <f>ABS(Table14[[#This Row],[Residual]])</f>
        <v>1850</v>
      </c>
      <c r="F21" s="4" t="str">
        <f>IF(Table14[[#This Row],[Absolute_Residual]]&lt;=$B$64,"Normal","Outlier")</f>
        <v>Normal</v>
      </c>
      <c r="G21" s="4">
        <f>Table14[[#This Row],[Residual]]^2</f>
        <v>3422500</v>
      </c>
      <c r="H21" s="4">
        <v>15260</v>
      </c>
      <c r="I21" s="4">
        <v>40</v>
      </c>
      <c r="J21" s="4">
        <v>46</v>
      </c>
    </row>
    <row r="22" spans="1:10">
      <c r="A22" s="4" t="s">
        <v>31</v>
      </c>
      <c r="B22" s="4">
        <v>19050</v>
      </c>
      <c r="C22" s="4">
        <v>17179</v>
      </c>
      <c r="D22" s="4">
        <v>1871</v>
      </c>
      <c r="E22" s="4">
        <f>ABS(Table14[[#This Row],[Residual]])</f>
        <v>1871</v>
      </c>
      <c r="F22" s="4" t="str">
        <f>IF(Table14[[#This Row],[Absolute_Residual]]&lt;=$B$64,"Normal","Outlier")</f>
        <v>Normal</v>
      </c>
      <c r="G22" s="4">
        <f>Table14[[#This Row],[Residual]]^2</f>
        <v>3500641</v>
      </c>
      <c r="H22" s="4">
        <v>4269</v>
      </c>
      <c r="I22" s="4">
        <v>30</v>
      </c>
      <c r="J22" s="4">
        <v>32</v>
      </c>
    </row>
    <row r="23" spans="1:10">
      <c r="A23" s="4" t="s">
        <v>32</v>
      </c>
      <c r="B23" s="4">
        <v>43537</v>
      </c>
      <c r="C23" s="4">
        <v>39783</v>
      </c>
      <c r="D23" s="4">
        <v>3754</v>
      </c>
      <c r="E23" s="4">
        <f>ABS(Table14[[#This Row],[Residual]])</f>
        <v>3754</v>
      </c>
      <c r="F23" s="4" t="str">
        <f>IF(Table14[[#This Row],[Absolute_Residual]]&lt;=$B$64,"Normal","Outlier")</f>
        <v>Normal</v>
      </c>
      <c r="G23" s="4">
        <f>Table14[[#This Row],[Residual]]^2</f>
        <v>14092516</v>
      </c>
      <c r="H23" s="4">
        <v>12432</v>
      </c>
      <c r="I23" s="4">
        <v>18</v>
      </c>
      <c r="J23" s="4">
        <v>26</v>
      </c>
    </row>
    <row r="24" spans="1:10">
      <c r="A24" s="4" t="s">
        <v>33</v>
      </c>
      <c r="B24" s="4">
        <v>43941</v>
      </c>
      <c r="C24" s="4">
        <v>39065</v>
      </c>
      <c r="D24" s="4">
        <v>4876</v>
      </c>
      <c r="E24" s="4">
        <f>ABS(Table14[[#This Row],[Residual]])</f>
        <v>4876</v>
      </c>
      <c r="F24" s="4" t="str">
        <f>IF(Table14[[#This Row],[Absolute_Residual]]&lt;=$B$64,"Normal","Outlier")</f>
        <v>Normal</v>
      </c>
      <c r="G24" s="4">
        <f>Table14[[#This Row],[Residual]]^2</f>
        <v>23775376</v>
      </c>
      <c r="H24" s="4">
        <v>12479</v>
      </c>
      <c r="I24" s="4">
        <v>30</v>
      </c>
      <c r="J24" s="4">
        <v>38</v>
      </c>
    </row>
    <row r="25" spans="1:10">
      <c r="A25" s="4" t="s">
        <v>34</v>
      </c>
      <c r="B25" s="4">
        <v>16180</v>
      </c>
      <c r="C25" s="4">
        <v>20772</v>
      </c>
      <c r="D25" s="4">
        <v>-4592</v>
      </c>
      <c r="E25" s="4">
        <f>ABS(Table14[[#This Row],[Residual]])</f>
        <v>4592</v>
      </c>
      <c r="F25" s="4" t="str">
        <f>IF(Table14[[#This Row],[Absolute_Residual]]&lt;=$B$64,"Normal","Outlier")</f>
        <v>Normal</v>
      </c>
      <c r="G25" s="4">
        <f>Table14[[#This Row],[Residual]]^2</f>
        <v>21086464</v>
      </c>
      <c r="H25" s="4">
        <v>5747</v>
      </c>
      <c r="I25" s="4">
        <v>31</v>
      </c>
      <c r="J25" s="4">
        <v>31</v>
      </c>
    </row>
    <row r="26" spans="1:10">
      <c r="A26" s="4" t="s">
        <v>35</v>
      </c>
      <c r="B26" s="4">
        <v>30771</v>
      </c>
      <c r="C26" s="4">
        <v>34391</v>
      </c>
      <c r="D26" s="4">
        <v>-3620</v>
      </c>
      <c r="E26" s="4">
        <f>ABS(Table14[[#This Row],[Residual]])</f>
        <v>3620</v>
      </c>
      <c r="F26" s="4" t="str">
        <f>IF(Table14[[#This Row],[Absolute_Residual]]&lt;=$B$64,"Normal","Outlier")</f>
        <v>Normal</v>
      </c>
      <c r="G26" s="4">
        <f>Table14[[#This Row],[Residual]]^2</f>
        <v>13104400</v>
      </c>
      <c r="H26" s="4">
        <v>11039</v>
      </c>
      <c r="I26" s="4">
        <v>33</v>
      </c>
      <c r="J26" s="4">
        <v>33</v>
      </c>
    </row>
    <row r="27" spans="1:10">
      <c r="A27" s="4" t="s">
        <v>36</v>
      </c>
      <c r="B27" s="4">
        <v>60652</v>
      </c>
      <c r="C27" s="4">
        <v>59206</v>
      </c>
      <c r="D27" s="4">
        <v>1446</v>
      </c>
      <c r="E27" s="4">
        <f>ABS(Table14[[#This Row],[Residual]])</f>
        <v>1446</v>
      </c>
      <c r="F27" s="4" t="str">
        <f>IF(Table14[[#This Row],[Absolute_Residual]]&lt;=$B$64,"Normal","Outlier")</f>
        <v>Normal</v>
      </c>
      <c r="G27" s="4">
        <f>Table14[[#This Row],[Residual]]^2</f>
        <v>2090916</v>
      </c>
      <c r="H27" s="4">
        <v>21056</v>
      </c>
      <c r="I27" s="4">
        <v>48</v>
      </c>
      <c r="J27" s="4">
        <v>46</v>
      </c>
    </row>
    <row r="28" spans="1:10">
      <c r="A28" s="4" t="s">
        <v>37</v>
      </c>
      <c r="B28" s="4">
        <v>33027</v>
      </c>
      <c r="C28" s="4">
        <v>28583</v>
      </c>
      <c r="D28" s="4">
        <v>4444</v>
      </c>
      <c r="E28" s="4">
        <f>ABS(Table14[[#This Row],[Residual]])</f>
        <v>4444</v>
      </c>
      <c r="F28" s="4" t="str">
        <f>IF(Table14[[#This Row],[Absolute_Residual]]&lt;=$B$64,"Normal","Outlier")</f>
        <v>Normal</v>
      </c>
      <c r="G28" s="4">
        <f>Table14[[#This Row],[Residual]]^2</f>
        <v>19749136</v>
      </c>
      <c r="H28" s="4">
        <v>9228</v>
      </c>
      <c r="I28" s="4">
        <v>50</v>
      </c>
      <c r="J28" s="4">
        <v>51</v>
      </c>
    </row>
    <row r="29" spans="1:10">
      <c r="A29" s="4" t="s">
        <v>38</v>
      </c>
      <c r="B29" s="4">
        <v>60948</v>
      </c>
      <c r="C29" s="4">
        <v>59081</v>
      </c>
      <c r="D29" s="4">
        <v>1867</v>
      </c>
      <c r="E29" s="4">
        <f>ABS(Table14[[#This Row],[Residual]])</f>
        <v>1867</v>
      </c>
      <c r="F29" s="4" t="str">
        <f>IF(Table14[[#This Row],[Absolute_Residual]]&lt;=$B$64,"Normal","Outlier")</f>
        <v>Normal</v>
      </c>
      <c r="G29" s="4">
        <f>Table14[[#This Row],[Residual]]^2</f>
        <v>3485689</v>
      </c>
      <c r="H29" s="4">
        <v>20381</v>
      </c>
      <c r="I29" s="4">
        <v>35</v>
      </c>
      <c r="J29" s="4">
        <v>41</v>
      </c>
    </row>
    <row r="30" spans="1:10">
      <c r="A30" s="4" t="s">
        <v>39</v>
      </c>
      <c r="B30" s="4">
        <v>61176</v>
      </c>
      <c r="C30" s="4">
        <v>61747</v>
      </c>
      <c r="D30" s="4">
        <v>-571</v>
      </c>
      <c r="E30" s="4">
        <f>ABS(Table14[[#This Row],[Residual]])</f>
        <v>571</v>
      </c>
      <c r="F30" s="4" t="str">
        <f>IF(Table14[[#This Row],[Absolute_Residual]]&lt;=$B$64,"Normal","Outlier")</f>
        <v>Normal</v>
      </c>
      <c r="G30" s="4">
        <f>Table14[[#This Row],[Residual]]^2</f>
        <v>326041</v>
      </c>
      <c r="H30" s="4">
        <v>21122</v>
      </c>
      <c r="I30" s="4">
        <v>27</v>
      </c>
      <c r="J30" s="4">
        <v>35</v>
      </c>
    </row>
    <row r="31" spans="1:10">
      <c r="A31" s="4" t="s">
        <v>40</v>
      </c>
      <c r="B31" s="4">
        <v>40964</v>
      </c>
      <c r="C31" s="4">
        <v>36493</v>
      </c>
      <c r="D31" s="4">
        <v>4471</v>
      </c>
      <c r="E31" s="4">
        <f>ABS(Table14[[#This Row],[Residual]])</f>
        <v>4471</v>
      </c>
      <c r="F31" s="4" t="str">
        <f>IF(Table14[[#This Row],[Absolute_Residual]]&lt;=$B$64,"Normal","Outlier")</f>
        <v>Normal</v>
      </c>
      <c r="G31" s="4">
        <f>Table14[[#This Row],[Residual]]^2</f>
        <v>19989841</v>
      </c>
      <c r="H31" s="4">
        <v>11928</v>
      </c>
      <c r="I31" s="4">
        <v>27</v>
      </c>
      <c r="J31" s="4">
        <v>20</v>
      </c>
    </row>
    <row r="32" spans="1:10">
      <c r="A32" s="4" t="s">
        <v>41</v>
      </c>
      <c r="B32" s="4">
        <v>60880</v>
      </c>
      <c r="C32" s="4">
        <v>57346</v>
      </c>
      <c r="D32" s="4">
        <v>3534</v>
      </c>
      <c r="E32" s="4">
        <f>ABS(Table14[[#This Row],[Residual]])</f>
        <v>3534</v>
      </c>
      <c r="F32" s="4" t="str">
        <f>IF(Table14[[#This Row],[Absolute_Residual]]&lt;=$B$64,"Normal","Outlier")</f>
        <v>Normal</v>
      </c>
      <c r="G32" s="4">
        <f>Table14[[#This Row],[Residual]]^2</f>
        <v>12489156</v>
      </c>
      <c r="H32" s="4">
        <v>20014</v>
      </c>
      <c r="I32" s="4">
        <v>32</v>
      </c>
      <c r="J32" s="4">
        <v>27</v>
      </c>
    </row>
    <row r="33" spans="1:10">
      <c r="A33" s="4" t="s">
        <v>42</v>
      </c>
      <c r="B33" s="4">
        <v>35136</v>
      </c>
      <c r="C33" s="4">
        <v>33572</v>
      </c>
      <c r="D33" s="4">
        <v>1564</v>
      </c>
      <c r="E33" s="4">
        <f>ABS(Table14[[#This Row],[Residual]])</f>
        <v>1564</v>
      </c>
      <c r="F33" s="4" t="str">
        <f>IF(Table14[[#This Row],[Absolute_Residual]]&lt;=$B$64,"Normal","Outlier")</f>
        <v>Normal</v>
      </c>
      <c r="G33" s="4">
        <f>Table14[[#This Row],[Residual]]^2</f>
        <v>2446096</v>
      </c>
      <c r="H33" s="4">
        <v>10993</v>
      </c>
      <c r="I33" s="4">
        <v>52</v>
      </c>
      <c r="J33" s="4">
        <v>59</v>
      </c>
    </row>
    <row r="34" spans="1:10">
      <c r="A34" s="4" t="s">
        <v>43</v>
      </c>
      <c r="B34" s="4">
        <v>37838</v>
      </c>
      <c r="C34" s="4">
        <v>32634</v>
      </c>
      <c r="D34" s="4">
        <v>5204</v>
      </c>
      <c r="E34" s="4">
        <f>ABS(Table14[[#This Row],[Residual]])</f>
        <v>5204</v>
      </c>
      <c r="F34" s="4" t="str">
        <f>IF(Table14[[#This Row],[Absolute_Residual]]&lt;=$B$64,"Normal","Outlier")</f>
        <v>Normal</v>
      </c>
      <c r="G34" s="4">
        <f>Table14[[#This Row],[Residual]]^2</f>
        <v>27081616</v>
      </c>
      <c r="H34" s="4">
        <v>10467</v>
      </c>
      <c r="I34" s="4">
        <v>42</v>
      </c>
      <c r="J34" s="4">
        <v>46</v>
      </c>
    </row>
    <row r="35" spans="1:10">
      <c r="A35" s="4" t="s">
        <v>44</v>
      </c>
      <c r="B35" s="4">
        <v>10878</v>
      </c>
      <c r="C35" s="4">
        <v>17612</v>
      </c>
      <c r="D35" s="4">
        <v>-6734</v>
      </c>
      <c r="E35" s="4">
        <f>ABS(Table14[[#This Row],[Residual]])</f>
        <v>6734</v>
      </c>
      <c r="F35" s="4" t="str">
        <f>IF(Table14[[#This Row],[Absolute_Residual]]&lt;=$B$64,"Normal","Outlier")</f>
        <v>Normal</v>
      </c>
      <c r="G35" s="4">
        <f>Table14[[#This Row],[Residual]]^2</f>
        <v>45346756</v>
      </c>
      <c r="H35" s="4">
        <v>4547</v>
      </c>
      <c r="I35" s="4">
        <v>29</v>
      </c>
      <c r="J35" s="4">
        <v>27</v>
      </c>
    </row>
    <row r="36" spans="1:10">
      <c r="A36" s="4" t="s">
        <v>45</v>
      </c>
      <c r="B36" s="4">
        <v>31674</v>
      </c>
      <c r="C36" s="4">
        <v>32468</v>
      </c>
      <c r="D36" s="4">
        <v>-794</v>
      </c>
      <c r="E36" s="4">
        <f>ABS(Table14[[#This Row],[Residual]])</f>
        <v>794</v>
      </c>
      <c r="F36" s="4" t="str">
        <f>IF(Table14[[#This Row],[Absolute_Residual]]&lt;=$B$64,"Normal","Outlier")</f>
        <v>Normal</v>
      </c>
      <c r="G36" s="4">
        <f>Table14[[#This Row],[Residual]]^2</f>
        <v>630436</v>
      </c>
      <c r="H36" s="4">
        <v>10684</v>
      </c>
      <c r="I36" s="4">
        <v>37</v>
      </c>
      <c r="J36" s="4">
        <v>29</v>
      </c>
    </row>
    <row r="37" spans="1:10">
      <c r="A37" s="4" t="s">
        <v>46</v>
      </c>
      <c r="B37" s="4">
        <v>36355</v>
      </c>
      <c r="C37" s="4">
        <v>37807</v>
      </c>
      <c r="D37" s="4">
        <v>-1452</v>
      </c>
      <c r="E37" s="4">
        <f>ABS(Table14[[#This Row],[Residual]])</f>
        <v>1452</v>
      </c>
      <c r="F37" s="4" t="str">
        <f>IF(Table14[[#This Row],[Absolute_Residual]]&lt;=$B$64,"Normal","Outlier")</f>
        <v>Normal</v>
      </c>
      <c r="G37" s="4">
        <f>Table14[[#This Row],[Residual]]^2</f>
        <v>2108304</v>
      </c>
      <c r="H37" s="4">
        <v>12418</v>
      </c>
      <c r="I37" s="4">
        <v>38</v>
      </c>
      <c r="J37" s="4">
        <v>40</v>
      </c>
    </row>
    <row r="38" spans="1:10">
      <c r="A38" s="4" t="s">
        <v>47</v>
      </c>
      <c r="B38" s="4">
        <v>31158</v>
      </c>
      <c r="C38" s="4">
        <v>32685</v>
      </c>
      <c r="D38" s="4">
        <v>-1527</v>
      </c>
      <c r="E38" s="4">
        <f>ABS(Table14[[#This Row],[Residual]])</f>
        <v>1527</v>
      </c>
      <c r="F38" s="4" t="str">
        <f>IF(Table14[[#This Row],[Absolute_Residual]]&lt;=$B$64,"Normal","Outlier")</f>
        <v>Normal</v>
      </c>
      <c r="G38" s="4">
        <f>Table14[[#This Row],[Residual]]^2</f>
        <v>2331729</v>
      </c>
      <c r="H38" s="4">
        <v>10975</v>
      </c>
      <c r="I38" s="4">
        <v>55</v>
      </c>
      <c r="J38" s="4">
        <v>55</v>
      </c>
    </row>
    <row r="39" spans="1:10">
      <c r="A39" s="4" t="s">
        <v>48</v>
      </c>
      <c r="B39" s="4">
        <v>19611</v>
      </c>
      <c r="C39" s="4">
        <v>24657</v>
      </c>
      <c r="D39" s="4">
        <v>-5046</v>
      </c>
      <c r="E39" s="4">
        <f>ABS(Table14[[#This Row],[Residual]])</f>
        <v>5046</v>
      </c>
      <c r="F39" s="4" t="str">
        <f>IF(Table14[[#This Row],[Absolute_Residual]]&lt;=$B$64,"Normal","Outlier")</f>
        <v>Normal</v>
      </c>
      <c r="G39" s="4">
        <f>Table14[[#This Row],[Residual]]^2</f>
        <v>25462116</v>
      </c>
      <c r="H39" s="4">
        <v>7341</v>
      </c>
      <c r="I39" s="4">
        <v>45</v>
      </c>
      <c r="J39" s="4">
        <v>53</v>
      </c>
    </row>
    <row r="40" spans="1:10">
      <c r="A40" s="4" t="s">
        <v>49</v>
      </c>
      <c r="B40" s="4">
        <v>26472</v>
      </c>
      <c r="C40" s="4">
        <v>22420</v>
      </c>
      <c r="D40" s="4">
        <v>4052</v>
      </c>
      <c r="E40" s="4">
        <f>ABS(Table14[[#This Row],[Residual]])</f>
        <v>4052</v>
      </c>
      <c r="F40" s="4" t="str">
        <f>IF(Table14[[#This Row],[Absolute_Residual]]&lt;=$B$64,"Normal","Outlier")</f>
        <v>Normal</v>
      </c>
      <c r="G40" s="4">
        <f>Table14[[#This Row],[Residual]]^2</f>
        <v>16418704</v>
      </c>
      <c r="H40" s="4">
        <v>6527</v>
      </c>
      <c r="I40" s="4">
        <v>39</v>
      </c>
      <c r="J40" s="4">
        <v>41</v>
      </c>
    </row>
    <row r="41" spans="1:10">
      <c r="A41" s="4" t="s">
        <v>50</v>
      </c>
      <c r="B41" s="4">
        <v>53041</v>
      </c>
      <c r="C41" s="4">
        <v>44579</v>
      </c>
      <c r="D41" s="4">
        <v>8462</v>
      </c>
      <c r="E41" s="4">
        <f>ABS(Table14[[#This Row],[Residual]])</f>
        <v>8462</v>
      </c>
      <c r="F41" s="4" t="str">
        <f>IF(Table14[[#This Row],[Absolute_Residual]]&lt;=$B$64,"Normal","Outlier")</f>
        <v>Outlier</v>
      </c>
      <c r="G41" s="4">
        <f>Table14[[#This Row],[Residual]]^2</f>
        <v>71605444</v>
      </c>
      <c r="H41" s="4">
        <v>15419</v>
      </c>
      <c r="I41" s="4">
        <v>45</v>
      </c>
      <c r="J41" s="4">
        <v>41</v>
      </c>
    </row>
    <row r="42" spans="1:10">
      <c r="A42" s="4" t="s">
        <v>51</v>
      </c>
      <c r="B42" s="4">
        <v>14165</v>
      </c>
      <c r="C42" s="4">
        <v>22079</v>
      </c>
      <c r="D42" s="4">
        <v>-7914</v>
      </c>
      <c r="E42" s="4">
        <f>ABS(Table14[[#This Row],[Residual]])</f>
        <v>7914</v>
      </c>
      <c r="F42" s="4" t="str">
        <f>IF(Table14[[#This Row],[Absolute_Residual]]&lt;=$B$64,"Normal","Outlier")</f>
        <v>Outlier</v>
      </c>
      <c r="G42" s="4">
        <f>Table14[[#This Row],[Residual]]^2</f>
        <v>62631396</v>
      </c>
      <c r="H42" s="4">
        <v>6188</v>
      </c>
      <c r="I42" s="4">
        <v>30</v>
      </c>
      <c r="J42" s="4">
        <v>31</v>
      </c>
    </row>
    <row r="43" spans="1:10">
      <c r="A43" s="4" t="s">
        <v>52</v>
      </c>
      <c r="B43" s="4">
        <v>23880</v>
      </c>
      <c r="C43" s="4">
        <v>25309</v>
      </c>
      <c r="D43" s="4">
        <v>-1429</v>
      </c>
      <c r="E43" s="4">
        <f>ABS(Table14[[#This Row],[Residual]])</f>
        <v>1429</v>
      </c>
      <c r="F43" s="4" t="str">
        <f>IF(Table14[[#This Row],[Absolute_Residual]]&lt;=$B$64,"Normal","Outlier")</f>
        <v>Normal</v>
      </c>
      <c r="G43" s="4">
        <f>Table14[[#This Row],[Residual]]^2</f>
        <v>2042041</v>
      </c>
      <c r="H43" s="4">
        <v>7492</v>
      </c>
      <c r="I43" s="4">
        <v>31</v>
      </c>
      <c r="J43" s="4">
        <v>31</v>
      </c>
    </row>
    <row r="44" spans="1:10">
      <c r="A44" s="4" t="s">
        <v>53</v>
      </c>
      <c r="B44" s="4">
        <v>31124</v>
      </c>
      <c r="C44" s="4">
        <v>31448</v>
      </c>
      <c r="D44" s="4">
        <v>-324</v>
      </c>
      <c r="E44" s="4">
        <f>ABS(Table14[[#This Row],[Residual]])</f>
        <v>324</v>
      </c>
      <c r="F44" s="4" t="str">
        <f>IF(Table14[[#This Row],[Absolute_Residual]]&lt;=$B$64,"Normal","Outlier")</f>
        <v>Normal</v>
      </c>
      <c r="G44" s="4">
        <f>Table14[[#This Row],[Residual]]^2</f>
        <v>104976</v>
      </c>
      <c r="H44" s="4">
        <v>9884</v>
      </c>
      <c r="I44" s="4">
        <v>36</v>
      </c>
      <c r="J44" s="4">
        <v>39</v>
      </c>
    </row>
    <row r="45" spans="1:10">
      <c r="A45" s="4" t="s">
        <v>54</v>
      </c>
      <c r="B45" s="4">
        <v>70704</v>
      </c>
      <c r="C45" s="4">
        <v>59571</v>
      </c>
      <c r="D45" s="4">
        <v>11133</v>
      </c>
      <c r="E45" s="4">
        <f>ABS(Table14[[#This Row],[Residual]])</f>
        <v>11133</v>
      </c>
      <c r="F45" s="4" t="str">
        <f>IF(Table14[[#This Row],[Absolute_Residual]]&lt;=$B$64,"Normal","Outlier")</f>
        <v>Outlier</v>
      </c>
      <c r="G45" s="4">
        <f>Table14[[#This Row],[Residual]]^2</f>
        <v>123943689</v>
      </c>
      <c r="H45" s="4">
        <v>21185</v>
      </c>
      <c r="I45" s="4">
        <v>45</v>
      </c>
      <c r="J45" s="4">
        <v>41</v>
      </c>
    </row>
    <row r="46" spans="1:10">
      <c r="A46" s="4" t="s">
        <v>55</v>
      </c>
      <c r="B46" s="4">
        <v>14885</v>
      </c>
      <c r="C46" s="4">
        <v>12969</v>
      </c>
      <c r="D46" s="4">
        <v>1916</v>
      </c>
      <c r="E46" s="4">
        <f>ABS(Table14[[#This Row],[Residual]])</f>
        <v>1916</v>
      </c>
      <c r="F46" s="4" t="str">
        <f>IF(Table14[[#This Row],[Absolute_Residual]]&lt;=$B$64,"Normal","Outlier")</f>
        <v>Normal</v>
      </c>
      <c r="G46" s="4">
        <f>Table14[[#This Row],[Residual]]^2</f>
        <v>3671056</v>
      </c>
      <c r="H46" s="4">
        <v>3088</v>
      </c>
      <c r="I46" s="4">
        <v>36</v>
      </c>
      <c r="J46" s="4">
        <v>30</v>
      </c>
    </row>
    <row r="47" spans="1:10">
      <c r="A47" s="4" t="s">
        <v>56</v>
      </c>
      <c r="B47" s="4">
        <v>25118</v>
      </c>
      <c r="C47" s="4">
        <v>20073</v>
      </c>
      <c r="D47" s="4">
        <v>5045</v>
      </c>
      <c r="E47" s="4">
        <f>ABS(Table14[[#This Row],[Residual]])</f>
        <v>5045</v>
      </c>
      <c r="F47" s="4" t="str">
        <f>IF(Table14[[#This Row],[Absolute_Residual]]&lt;=$B$64,"Normal","Outlier")</f>
        <v>Normal</v>
      </c>
      <c r="G47" s="4">
        <f>Table14[[#This Row],[Residual]]^2</f>
        <v>25452025</v>
      </c>
      <c r="H47" s="4">
        <v>5232</v>
      </c>
      <c r="I47" s="4">
        <v>18</v>
      </c>
      <c r="J47" s="4">
        <v>15</v>
      </c>
    </row>
    <row r="48" spans="1:10">
      <c r="A48" s="4" t="s">
        <v>57</v>
      </c>
      <c r="B48" s="4">
        <v>9411</v>
      </c>
      <c r="C48" s="4">
        <v>14070</v>
      </c>
      <c r="D48" s="4">
        <v>-4659</v>
      </c>
      <c r="E48" s="4">
        <f>ABS(Table14[[#This Row],[Residual]])</f>
        <v>4659</v>
      </c>
      <c r="F48" s="4" t="str">
        <f>IF(Table14[[#This Row],[Absolute_Residual]]&lt;=$B$64,"Normal","Outlier")</f>
        <v>Normal</v>
      </c>
      <c r="G48" s="4">
        <f>Table14[[#This Row],[Residual]]^2</f>
        <v>21706281</v>
      </c>
      <c r="H48" s="4">
        <v>3173</v>
      </c>
      <c r="I48" s="4">
        <v>35</v>
      </c>
      <c r="J48" s="4">
        <v>38</v>
      </c>
    </row>
    <row r="49" spans="1:10">
      <c r="A49" s="4" t="s">
        <v>58</v>
      </c>
      <c r="B49" s="4">
        <v>45696</v>
      </c>
      <c r="C49" s="4">
        <v>46411</v>
      </c>
      <c r="D49" s="4">
        <v>-715</v>
      </c>
      <c r="E49" s="4">
        <f>ABS(Table14[[#This Row],[Residual]])</f>
        <v>715</v>
      </c>
      <c r="F49" s="4" t="str">
        <f>IF(Table14[[#This Row],[Absolute_Residual]]&lt;=$B$64,"Normal","Outlier")</f>
        <v>Normal</v>
      </c>
      <c r="G49" s="4">
        <f>Table14[[#This Row],[Residual]]^2</f>
        <v>511225</v>
      </c>
      <c r="H49" s="4">
        <v>15408</v>
      </c>
      <c r="I49" s="4">
        <v>30</v>
      </c>
      <c r="J49" s="4">
        <v>35</v>
      </c>
    </row>
    <row r="50" spans="1:10">
      <c r="A50" s="4" t="s">
        <v>59</v>
      </c>
      <c r="B50" s="4">
        <v>47476</v>
      </c>
      <c r="C50" s="4">
        <v>48192</v>
      </c>
      <c r="D50" s="4">
        <v>-716</v>
      </c>
      <c r="E50" s="4">
        <f>ABS(Table14[[#This Row],[Residual]])</f>
        <v>716</v>
      </c>
      <c r="F50" s="4" t="str">
        <f>IF(Table14[[#This Row],[Absolute_Residual]]&lt;=$B$64,"Normal","Outlier")</f>
        <v>Normal</v>
      </c>
      <c r="G50" s="4">
        <f>Table14[[#This Row],[Residual]]^2</f>
        <v>512656</v>
      </c>
      <c r="H50" s="4">
        <v>16543</v>
      </c>
      <c r="I50" s="4">
        <v>39</v>
      </c>
      <c r="J50" s="4">
        <v>38</v>
      </c>
    </row>
    <row r="51" spans="1:10">
      <c r="A51" s="4" t="s">
        <v>60</v>
      </c>
      <c r="B51" s="4">
        <v>36973</v>
      </c>
      <c r="C51" s="4">
        <v>45361</v>
      </c>
      <c r="D51" s="4">
        <v>-8388</v>
      </c>
      <c r="E51" s="4">
        <f>ABS(Table14[[#This Row],[Residual]])</f>
        <v>8388</v>
      </c>
      <c r="F51" s="4" t="str">
        <f>IF(Table14[[#This Row],[Absolute_Residual]]&lt;=$B$64,"Normal","Outlier")</f>
        <v>Outlier</v>
      </c>
      <c r="G51" s="4">
        <f>Table14[[#This Row],[Residual]]^2</f>
        <v>70358544</v>
      </c>
      <c r="H51" s="4">
        <v>15385</v>
      </c>
      <c r="I51" s="4">
        <v>30</v>
      </c>
      <c r="J51" s="4">
        <v>24</v>
      </c>
    </row>
    <row r="52" spans="1:10">
      <c r="A52" s="4" t="s">
        <v>61</v>
      </c>
      <c r="B52" s="4">
        <v>13876</v>
      </c>
      <c r="C52" s="4">
        <v>14414</v>
      </c>
      <c r="D52" s="4">
        <v>-538</v>
      </c>
      <c r="E52" s="4">
        <f>ABS(Table14[[#This Row],[Residual]])</f>
        <v>538</v>
      </c>
      <c r="F52" s="4" t="str">
        <f>IF(Table14[[#This Row],[Absolute_Residual]]&lt;=$B$64,"Normal","Outlier")</f>
        <v>Normal</v>
      </c>
      <c r="G52" s="4">
        <f>Table14[[#This Row],[Residual]]^2</f>
        <v>289444</v>
      </c>
      <c r="H52" s="4">
        <v>3144</v>
      </c>
      <c r="I52" s="4">
        <v>38</v>
      </c>
      <c r="J52" s="4">
        <v>48</v>
      </c>
    </row>
    <row r="53" spans="1:10">
      <c r="A53" s="4" t="s">
        <v>62</v>
      </c>
      <c r="B53" s="4">
        <v>38263</v>
      </c>
      <c r="C53" s="4">
        <v>33576</v>
      </c>
      <c r="D53" s="4">
        <v>4687</v>
      </c>
      <c r="E53" s="4">
        <f>ABS(Table14[[#This Row],[Residual]])</f>
        <v>4687</v>
      </c>
      <c r="F53" s="4" t="str">
        <f>IF(Table14[[#This Row],[Absolute_Residual]]&lt;=$B$64,"Normal","Outlier")</f>
        <v>Normal</v>
      </c>
      <c r="G53" s="4">
        <f>Table14[[#This Row],[Residual]]^2</f>
        <v>21967969</v>
      </c>
      <c r="H53" s="4">
        <v>10683</v>
      </c>
      <c r="I53" s="4">
        <v>34</v>
      </c>
      <c r="J53" s="4">
        <v>36</v>
      </c>
    </row>
    <row r="54" spans="1:10">
      <c r="A54" s="4" t="s">
        <v>63</v>
      </c>
      <c r="B54" s="4">
        <v>65614</v>
      </c>
      <c r="C54" s="4">
        <v>54715</v>
      </c>
      <c r="D54" s="4">
        <v>10899</v>
      </c>
      <c r="E54" s="4">
        <f>ABS(Table14[[#This Row],[Residual]])</f>
        <v>10899</v>
      </c>
      <c r="F54" s="4" t="str">
        <f>IF(Table14[[#This Row],[Absolute_Residual]]&lt;=$B$64,"Normal","Outlier")</f>
        <v>Outlier</v>
      </c>
      <c r="G54" s="4">
        <f>Table14[[#This Row],[Residual]]^2</f>
        <v>118788201</v>
      </c>
      <c r="H54" s="4">
        <v>18725</v>
      </c>
      <c r="I54" s="4">
        <v>32</v>
      </c>
      <c r="J54" s="4">
        <v>35</v>
      </c>
    </row>
    <row r="55" spans="1:10">
      <c r="A55" s="4" t="s">
        <v>64</v>
      </c>
      <c r="B55" s="4">
        <v>34701</v>
      </c>
      <c r="C55" s="4">
        <v>34369</v>
      </c>
      <c r="D55" s="4">
        <v>332</v>
      </c>
      <c r="E55" s="4">
        <f>ABS(Table14[[#This Row],[Residual]])</f>
        <v>332</v>
      </c>
      <c r="F55" s="4" t="str">
        <f>IF(Table14[[#This Row],[Absolute_Residual]]&lt;=$B$64,"Normal","Outlier")</f>
        <v>Normal</v>
      </c>
      <c r="G55" s="4">
        <f>Table14[[#This Row],[Residual]]^2</f>
        <v>110224</v>
      </c>
      <c r="H55" s="4">
        <v>11269</v>
      </c>
      <c r="I55" s="4">
        <v>38</v>
      </c>
      <c r="J55" s="4">
        <v>35</v>
      </c>
    </row>
    <row r="57" spans="1:10">
      <c r="A57" t="s">
        <v>65</v>
      </c>
    </row>
    <row r="58" spans="1:10">
      <c r="A58">
        <f>AVERAGE(Table14[Residual])</f>
        <v>925.32</v>
      </c>
    </row>
    <row r="60" spans="1:10">
      <c r="A60" t="s">
        <v>66</v>
      </c>
    </row>
    <row r="61" spans="1:10">
      <c r="A61">
        <f>MAX(Table14[Absolute_Residual])</f>
        <v>11133</v>
      </c>
    </row>
    <row r="63" spans="1:10">
      <c r="A63" t="s">
        <v>67</v>
      </c>
    </row>
    <row r="64" spans="1:10">
      <c r="A64">
        <f>AVERAGE(Table14[Absolute_Residual])</f>
        <v>3743.8</v>
      </c>
      <c r="B64">
        <f>A64*2</f>
        <v>7487.6</v>
      </c>
    </row>
    <row r="66" spans="1:1">
      <c r="A66" t="s">
        <v>68</v>
      </c>
    </row>
    <row r="67" spans="1:1">
      <c r="A67" s="8">
        <f>AVERAGE(Table14[Squared_Residual])</f>
        <v>21403029.32</v>
      </c>
    </row>
    <row r="69" spans="1:1">
      <c r="A69" t="s">
        <v>69</v>
      </c>
    </row>
    <row r="70" spans="1:1">
      <c r="A70" s="9">
        <f>SQRT(A67)</f>
        <v>4626.3408132129653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2026-05-22T00:32:52Z</dcterms:created>
  <dcterms:modified xsi:type="dcterms:W3CDTF">2026-05-22T00:34:13Z</dcterms:modified>
</cp:coreProperties>
</file>